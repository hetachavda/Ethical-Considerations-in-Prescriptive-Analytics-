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tac\Downloads\"/>
    </mc:Choice>
  </mc:AlternateContent>
  <xr:revisionPtr revIDLastSave="0" documentId="13_ncr:1_{DE1DC721-3CB6-4E2D-91AF-A33CE5F8AC2D}" xr6:coauthVersionLast="47" xr6:coauthVersionMax="47" xr10:uidLastSave="{00000000-0000-0000-0000-000000000000}"/>
  <bookViews>
    <workbookView xWindow="-108" yWindow="-108" windowWidth="23256" windowHeight="12456" activeTab="1" xr2:uid="{8673DCB2-FEB9-4C30-8CC4-ABC0F91B0EB3}"/>
  </bookViews>
  <sheets>
    <sheet name="Broken" sheetId="1" r:id="rId1"/>
    <sheet name="B&amp;B" sheetId="2" r:id="rId2"/>
    <sheet name="Point" sheetId="3" r:id="rId3"/>
    <sheet name="Graph B&amp;B" sheetId="4" r:id="rId4"/>
    <sheet name="Exercise 2" sheetId="5" r:id="rId5"/>
    <sheet name="Python 1" sheetId="6" r:id="rId6"/>
    <sheet name="Python 2" sheetId="7" r:id="rId7"/>
    <sheet name="Sheet1" sheetId="8" r:id="rId8"/>
  </sheets>
  <definedNames>
    <definedName name="solver_adj" localSheetId="1" hidden="1">'B&amp;B'!$G$6:$I$6</definedName>
    <definedName name="solver_adj" localSheetId="0" hidden="1">Broken!$E$23:$F$23</definedName>
    <definedName name="solver_adj" localSheetId="4" hidden="1">'Exercise 2'!$F$14:$H$15</definedName>
    <definedName name="solver_adj" localSheetId="3" hidden="1">'Graph B&amp;B'!$D$20:$E$20</definedName>
    <definedName name="solver_adj" localSheetId="7" hidden="1">Sheet1!$E$4:$F$4</definedName>
    <definedName name="solver_cvg" localSheetId="1" hidden="1">0.0001</definedName>
    <definedName name="solver_cvg" localSheetId="0" hidden="1">0.0001</definedName>
    <definedName name="solver_cvg" localSheetId="4" hidden="1">0.0001</definedName>
    <definedName name="solver_cvg" localSheetId="3" hidden="1">0.0001</definedName>
    <definedName name="solver_cvg" localSheetId="7" hidden="1">0.0001</definedName>
    <definedName name="solver_drv" localSheetId="1" hidden="1">2</definedName>
    <definedName name="solver_drv" localSheetId="0" hidden="1">2</definedName>
    <definedName name="solver_drv" localSheetId="4" hidden="1">1</definedName>
    <definedName name="solver_drv" localSheetId="3" hidden="1">1</definedName>
    <definedName name="solver_drv" localSheetId="7" hidden="1">2</definedName>
    <definedName name="solver_eng" localSheetId="1" hidden="1">2</definedName>
    <definedName name="solver_eng" localSheetId="0" hidden="1">2</definedName>
    <definedName name="solver_eng" localSheetId="4" hidden="1">2</definedName>
    <definedName name="solver_eng" localSheetId="3" hidden="1">2</definedName>
    <definedName name="solver_eng" localSheetId="7" hidden="1">1</definedName>
    <definedName name="solver_est" localSheetId="1" hidden="1">1</definedName>
    <definedName name="solver_est" localSheetId="0" hidden="1">1</definedName>
    <definedName name="solver_est" localSheetId="4" hidden="1">1</definedName>
    <definedName name="solver_est" localSheetId="3" hidden="1">1</definedName>
    <definedName name="solver_est" localSheetId="7" hidden="1">1</definedName>
    <definedName name="solver_itr" localSheetId="1" hidden="1">2147483647</definedName>
    <definedName name="solver_itr" localSheetId="0" hidden="1">2147483647</definedName>
    <definedName name="solver_itr" localSheetId="4" hidden="1">2147483647</definedName>
    <definedName name="solver_itr" localSheetId="3" hidden="1">2147483647</definedName>
    <definedName name="solver_itr" localSheetId="7" hidden="1">2147483647</definedName>
    <definedName name="solver_lhs1" localSheetId="1" hidden="1">'B&amp;B'!$J$12</definedName>
    <definedName name="solver_lhs1" localSheetId="0" hidden="1">Broken!$G$24:$G$26</definedName>
    <definedName name="solver_lhs1" localSheetId="4" hidden="1">'Exercise 2'!$F$16:$H$16</definedName>
    <definedName name="solver_lhs1" localSheetId="3" hidden="1">'Graph B&amp;B'!$F$21:$F$22</definedName>
    <definedName name="solver_lhs1" localSheetId="7" hidden="1">Sheet1!$B$10</definedName>
    <definedName name="solver_lhs2" localSheetId="1" hidden="1">'B&amp;B'!$J$8:$J$10</definedName>
    <definedName name="solver_lhs2" localSheetId="4" hidden="1">'Exercise 2'!$I$14:$I$15</definedName>
    <definedName name="solver_lhs2" localSheetId="3" hidden="1">'Graph B&amp;B'!$F$25</definedName>
    <definedName name="solver_lhs2" localSheetId="7" hidden="1">Sheet1!$B$12</definedName>
    <definedName name="solver_lhs3" localSheetId="1" hidden="1">'B&amp;B'!$J$8:$J$10</definedName>
    <definedName name="solver_lhs3" localSheetId="3" hidden="1">'Graph B&amp;B'!$F$26</definedName>
    <definedName name="solver_lhs3" localSheetId="7" hidden="1">Sheet1!$B$8</definedName>
    <definedName name="solver_lhs4" localSheetId="1" hidden="1">'B&amp;B'!$J$8:$J$10</definedName>
    <definedName name="solver_lhs4" localSheetId="3" hidden="1">'Graph B&amp;B'!$F$26</definedName>
    <definedName name="solver_lhs5" localSheetId="1" hidden="1">'B&amp;B'!$J$8:$J$10</definedName>
    <definedName name="solver_mip" localSheetId="1" hidden="1">2147483647</definedName>
    <definedName name="solver_mip" localSheetId="0" hidden="1">2147483647</definedName>
    <definedName name="solver_mip" localSheetId="4" hidden="1">2147483647</definedName>
    <definedName name="solver_mip" localSheetId="3" hidden="1">2147483647</definedName>
    <definedName name="solver_mip" localSheetId="7" hidden="1">2147483647</definedName>
    <definedName name="solver_mni" localSheetId="1" hidden="1">30</definedName>
    <definedName name="solver_mni" localSheetId="0" hidden="1">30</definedName>
    <definedName name="solver_mni" localSheetId="4" hidden="1">30</definedName>
    <definedName name="solver_mni" localSheetId="3" hidden="1">30</definedName>
    <definedName name="solver_mni" localSheetId="7" hidden="1">30</definedName>
    <definedName name="solver_mrt" localSheetId="1" hidden="1">0.075</definedName>
    <definedName name="solver_mrt" localSheetId="0" hidden="1">0.075</definedName>
    <definedName name="solver_mrt" localSheetId="4" hidden="1">0.075</definedName>
    <definedName name="solver_mrt" localSheetId="3" hidden="1">0.075</definedName>
    <definedName name="solver_mrt" localSheetId="7" hidden="1">0.075</definedName>
    <definedName name="solver_msl" localSheetId="1" hidden="1">2</definedName>
    <definedName name="solver_msl" localSheetId="0" hidden="1">2</definedName>
    <definedName name="solver_msl" localSheetId="4" hidden="1">2</definedName>
    <definedName name="solver_msl" localSheetId="3" hidden="1">2</definedName>
    <definedName name="solver_msl" localSheetId="7" hidden="1">2</definedName>
    <definedName name="solver_neg" localSheetId="1" hidden="1">1</definedName>
    <definedName name="solver_neg" localSheetId="0" hidden="1">1</definedName>
    <definedName name="solver_neg" localSheetId="4" hidden="1">1</definedName>
    <definedName name="solver_neg" localSheetId="3" hidden="1">1</definedName>
    <definedName name="solver_neg" localSheetId="7" hidden="1">1</definedName>
    <definedName name="solver_nod" localSheetId="1" hidden="1">2147483647</definedName>
    <definedName name="solver_nod" localSheetId="0" hidden="1">2147483647</definedName>
    <definedName name="solver_nod" localSheetId="4" hidden="1">2147483647</definedName>
    <definedName name="solver_nod" localSheetId="3" hidden="1">2147483647</definedName>
    <definedName name="solver_nod" localSheetId="7" hidden="1">2147483647</definedName>
    <definedName name="solver_num" localSheetId="1" hidden="1">2</definedName>
    <definedName name="solver_num" localSheetId="0" hidden="1">1</definedName>
    <definedName name="solver_num" localSheetId="4" hidden="1">2</definedName>
    <definedName name="solver_num" localSheetId="3" hidden="1">2</definedName>
    <definedName name="solver_num" localSheetId="7" hidden="1">3</definedName>
    <definedName name="solver_nwt" localSheetId="1" hidden="1">1</definedName>
    <definedName name="solver_nwt" localSheetId="0" hidden="1">1</definedName>
    <definedName name="solver_nwt" localSheetId="4" hidden="1">1</definedName>
    <definedName name="solver_nwt" localSheetId="3" hidden="1">1</definedName>
    <definedName name="solver_nwt" localSheetId="7" hidden="1">1</definedName>
    <definedName name="solver_opt" localSheetId="1" hidden="1">'B&amp;B'!$K$5</definedName>
    <definedName name="solver_opt" localSheetId="0" hidden="1">Broken!$H$22</definedName>
    <definedName name="solver_opt" localSheetId="4" hidden="1">'Exercise 2'!$F$23</definedName>
    <definedName name="solver_opt" localSheetId="3" hidden="1">'Graph B&amp;B'!$G$20</definedName>
    <definedName name="solver_opt" localSheetId="7" hidden="1">Sheet1!$I$4</definedName>
    <definedName name="solver_pre" localSheetId="1" hidden="1">0.000001</definedName>
    <definedName name="solver_pre" localSheetId="0" hidden="1">0.000001</definedName>
    <definedName name="solver_pre" localSheetId="4" hidden="1">0.000001</definedName>
    <definedName name="solver_pre" localSheetId="3" hidden="1">0.000001</definedName>
    <definedName name="solver_pre" localSheetId="7" hidden="1">0.000001</definedName>
    <definedName name="solver_rbv" localSheetId="1" hidden="1">2</definedName>
    <definedName name="solver_rbv" localSheetId="0" hidden="1">2</definedName>
    <definedName name="solver_rbv" localSheetId="4" hidden="1">1</definedName>
    <definedName name="solver_rbv" localSheetId="3" hidden="1">1</definedName>
    <definedName name="solver_rbv" localSheetId="7" hidden="1">2</definedName>
    <definedName name="solver_rel1" localSheetId="1" hidden="1">3</definedName>
    <definedName name="solver_rel1" localSheetId="0" hidden="1">1</definedName>
    <definedName name="solver_rel1" localSheetId="4" hidden="1">3</definedName>
    <definedName name="solver_rel1" localSheetId="3" hidden="1">1</definedName>
    <definedName name="solver_rel1" localSheetId="7" hidden="1">1</definedName>
    <definedName name="solver_rel2" localSheetId="1" hidden="1">1</definedName>
    <definedName name="solver_rel2" localSheetId="4" hidden="1">1</definedName>
    <definedName name="solver_rel2" localSheetId="3" hidden="1">3</definedName>
    <definedName name="solver_rel2" localSheetId="7" hidden="1">1</definedName>
    <definedName name="solver_rel3" localSheetId="1" hidden="1">1</definedName>
    <definedName name="solver_rel3" localSheetId="3" hidden="1">1</definedName>
    <definedName name="solver_rel3" localSheetId="7" hidden="1">1</definedName>
    <definedName name="solver_rel4" localSheetId="1" hidden="1">1</definedName>
    <definedName name="solver_rel4" localSheetId="3" hidden="1">1</definedName>
    <definedName name="solver_rel5" localSheetId="1" hidden="1">1</definedName>
    <definedName name="solver_rhs1" localSheetId="1" hidden="1">18</definedName>
    <definedName name="solver_rhs1" localSheetId="0" hidden="1">Broken!$I$24:$I$26</definedName>
    <definedName name="solver_rhs1" localSheetId="4" hidden="1">'Exercise 2'!$F$18:$H$18</definedName>
    <definedName name="solver_rhs1" localSheetId="3" hidden="1">'Graph B&amp;B'!$H$21:$H$22</definedName>
    <definedName name="solver_rhs1" localSheetId="7" hidden="1">Sheet1!$C$10</definedName>
    <definedName name="solver_rhs2" localSheetId="1" hidden="1">'B&amp;B'!$L$8:$L$10</definedName>
    <definedName name="solver_rhs2" localSheetId="4" hidden="1">'Exercise 2'!$K$14:$K$15</definedName>
    <definedName name="solver_rhs2" localSheetId="3" hidden="1">4</definedName>
    <definedName name="solver_rhs2" localSheetId="7" hidden="1">Sheet1!$C$12</definedName>
    <definedName name="solver_rhs3" localSheetId="1" hidden="1">'B&amp;B'!$L$8:$L$10</definedName>
    <definedName name="solver_rhs3" localSheetId="3" hidden="1">4</definedName>
    <definedName name="solver_rhs3" localSheetId="7" hidden="1">Sheet1!$C$8</definedName>
    <definedName name="solver_rhs4" localSheetId="1" hidden="1">'B&amp;B'!$L$8:$L$10</definedName>
    <definedName name="solver_rhs4" localSheetId="3" hidden="1">4</definedName>
    <definedName name="solver_rhs5" localSheetId="1" hidden="1">'B&amp;B'!$L$8:$L$10</definedName>
    <definedName name="solver_rlx" localSheetId="1" hidden="1">2</definedName>
    <definedName name="solver_rlx" localSheetId="0" hidden="1">2</definedName>
    <definedName name="solver_rlx" localSheetId="4" hidden="1">2</definedName>
    <definedName name="solver_rlx" localSheetId="3" hidden="1">2</definedName>
    <definedName name="solver_rlx" localSheetId="7" hidden="1">2</definedName>
    <definedName name="solver_rsd" localSheetId="1" hidden="1">0</definedName>
    <definedName name="solver_rsd" localSheetId="0" hidden="1">0</definedName>
    <definedName name="solver_rsd" localSheetId="4" hidden="1">0</definedName>
    <definedName name="solver_rsd" localSheetId="3" hidden="1">0</definedName>
    <definedName name="solver_rsd" localSheetId="7" hidden="1">0</definedName>
    <definedName name="solver_scl" localSheetId="1" hidden="1">2</definedName>
    <definedName name="solver_scl" localSheetId="0" hidden="1">2</definedName>
    <definedName name="solver_scl" localSheetId="4" hidden="1">1</definedName>
    <definedName name="solver_scl" localSheetId="3" hidden="1">1</definedName>
    <definedName name="solver_scl" localSheetId="7" hidden="1">2</definedName>
    <definedName name="solver_sho" localSheetId="1" hidden="1">2</definedName>
    <definedName name="solver_sho" localSheetId="0" hidden="1">2</definedName>
    <definedName name="solver_sho" localSheetId="4" hidden="1">2</definedName>
    <definedName name="solver_sho" localSheetId="3" hidden="1">2</definedName>
    <definedName name="solver_sho" localSheetId="7" hidden="1">2</definedName>
    <definedName name="solver_ssz" localSheetId="1" hidden="1">100</definedName>
    <definedName name="solver_ssz" localSheetId="0" hidden="1">100</definedName>
    <definedName name="solver_ssz" localSheetId="4" hidden="1">100</definedName>
    <definedName name="solver_ssz" localSheetId="3" hidden="1">100</definedName>
    <definedName name="solver_ssz" localSheetId="7" hidden="1">100</definedName>
    <definedName name="solver_tim" localSheetId="1" hidden="1">2147483647</definedName>
    <definedName name="solver_tim" localSheetId="0" hidden="1">2147483647</definedName>
    <definedName name="solver_tim" localSheetId="4" hidden="1">2147483647</definedName>
    <definedName name="solver_tim" localSheetId="3" hidden="1">2147483647</definedName>
    <definedName name="solver_tim" localSheetId="7" hidden="1">2147483647</definedName>
    <definedName name="solver_tol" localSheetId="1" hidden="1">0.01</definedName>
    <definedName name="solver_tol" localSheetId="0" hidden="1">0.01</definedName>
    <definedName name="solver_tol" localSheetId="4" hidden="1">0.01</definedName>
    <definedName name="solver_tol" localSheetId="3" hidden="1">0.01</definedName>
    <definedName name="solver_tol" localSheetId="7" hidden="1">0.01</definedName>
    <definedName name="solver_typ" localSheetId="1" hidden="1">1</definedName>
    <definedName name="solver_typ" localSheetId="0" hidden="1">1</definedName>
    <definedName name="solver_typ" localSheetId="4" hidden="1">2</definedName>
    <definedName name="solver_typ" localSheetId="3" hidden="1">1</definedName>
    <definedName name="solver_typ" localSheetId="7" hidden="1">1</definedName>
    <definedName name="solver_val" localSheetId="1" hidden="1">0</definedName>
    <definedName name="solver_val" localSheetId="0" hidden="1">0</definedName>
    <definedName name="solver_val" localSheetId="4" hidden="1">0</definedName>
    <definedName name="solver_val" localSheetId="3" hidden="1">0</definedName>
    <definedName name="solver_val" localSheetId="7" hidden="1">0</definedName>
    <definedName name="solver_ver" localSheetId="1" hidden="1">3</definedName>
    <definedName name="solver_ver" localSheetId="0" hidden="1">3</definedName>
    <definedName name="solver_ver" localSheetId="4" hidden="1">3</definedName>
    <definedName name="solver_ver" localSheetId="3" hidden="1">3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5" l="1"/>
  <c r="I15" i="5"/>
  <c r="I14" i="5"/>
  <c r="G16" i="5"/>
  <c r="H16" i="5"/>
  <c r="F16" i="5"/>
  <c r="F26" i="4"/>
  <c r="G20" i="4" l="1"/>
  <c r="F25" i="4"/>
  <c r="J9" i="4"/>
  <c r="F24" i="4"/>
  <c r="F22" i="4"/>
  <c r="F21" i="4"/>
  <c r="I15" i="4"/>
  <c r="H15" i="4"/>
  <c r="I14" i="4"/>
  <c r="H14" i="4"/>
  <c r="I13" i="4"/>
  <c r="H13" i="4"/>
  <c r="I12" i="4"/>
  <c r="H12" i="4"/>
  <c r="E12" i="4"/>
  <c r="I11" i="4"/>
  <c r="H11" i="4"/>
  <c r="I10" i="4"/>
  <c r="H10" i="4"/>
  <c r="I9" i="4"/>
  <c r="H9" i="4"/>
  <c r="E8" i="4"/>
  <c r="J14" i="3"/>
  <c r="G20" i="3"/>
  <c r="G21" i="3"/>
  <c r="G22" i="3"/>
  <c r="G19" i="3"/>
  <c r="H10" i="3"/>
  <c r="I10" i="3"/>
  <c r="H11" i="3"/>
  <c r="I11" i="3"/>
  <c r="H12" i="3"/>
  <c r="I12" i="3"/>
  <c r="H13" i="3"/>
  <c r="I13" i="3"/>
  <c r="H14" i="3"/>
  <c r="I14" i="3"/>
  <c r="H15" i="3"/>
  <c r="I15" i="3"/>
  <c r="I9" i="3"/>
  <c r="H9" i="3"/>
  <c r="E12" i="3"/>
  <c r="E8" i="3"/>
  <c r="J15" i="2"/>
  <c r="J14" i="2"/>
  <c r="J13" i="2"/>
  <c r="J12" i="2"/>
  <c r="J10" i="2"/>
  <c r="K5" i="2"/>
  <c r="J9" i="2"/>
  <c r="J8" i="2"/>
  <c r="H22" i="1"/>
  <c r="G25" i="1"/>
  <c r="G26" i="1"/>
  <c r="G24" i="1"/>
  <c r="H9" i="1"/>
  <c r="J10" i="1"/>
  <c r="J11" i="1"/>
  <c r="J12" i="1"/>
  <c r="J13" i="1"/>
  <c r="J14" i="1"/>
  <c r="J15" i="1"/>
  <c r="J16" i="1"/>
  <c r="J17" i="1"/>
  <c r="J18" i="1"/>
  <c r="J19" i="1"/>
  <c r="J9" i="1"/>
  <c r="I10" i="1"/>
  <c r="I11" i="1"/>
  <c r="I12" i="1"/>
  <c r="I13" i="1"/>
  <c r="I14" i="1"/>
  <c r="I15" i="1"/>
  <c r="I16" i="1"/>
  <c r="I17" i="1"/>
  <c r="I18" i="1"/>
  <c r="I19" i="1"/>
  <c r="I9" i="1"/>
  <c r="H10" i="1"/>
  <c r="H11" i="1"/>
  <c r="H12" i="1"/>
  <c r="H13" i="1"/>
  <c r="H14" i="1"/>
  <c r="H15" i="1"/>
  <c r="H16" i="1"/>
  <c r="H17" i="1"/>
  <c r="H18" i="1"/>
  <c r="H19" i="1"/>
  <c r="J10" i="4" l="1"/>
  <c r="J11" i="4"/>
  <c r="J12" i="4"/>
  <c r="J13" i="4"/>
  <c r="J14" i="4"/>
  <c r="J15" i="4"/>
  <c r="J15" i="3"/>
  <c r="J13" i="3"/>
  <c r="J12" i="3"/>
  <c r="J9" i="3"/>
  <c r="J11" i="3"/>
  <c r="J10" i="3"/>
</calcChain>
</file>

<file path=xl/sharedStrings.xml><?xml version="1.0" encoding="utf-8"?>
<sst xmlns="http://schemas.openxmlformats.org/spreadsheetml/2006/main" count="124" uniqueCount="80">
  <si>
    <t>x</t>
  </si>
  <si>
    <t>y</t>
  </si>
  <si>
    <t>y=100-x</t>
  </si>
  <si>
    <t>y=(250-2x)/3</t>
  </si>
  <si>
    <t>y=(350-3x)/4</t>
  </si>
  <si>
    <t>&lt;=</t>
  </si>
  <si>
    <t>w</t>
  </si>
  <si>
    <t>Z</t>
  </si>
  <si>
    <t>&gt;=</t>
  </si>
  <si>
    <t>y=(17-2x)/3</t>
  </si>
  <si>
    <t>y=(45-10x)/3</t>
  </si>
  <si>
    <t>y=(Z-5x)/2</t>
  </si>
  <si>
    <t>x=4</t>
  </si>
  <si>
    <t>y=1</t>
  </si>
  <si>
    <t>W1</t>
  </si>
  <si>
    <t>W2</t>
  </si>
  <si>
    <t>S1</t>
  </si>
  <si>
    <t>S2</t>
  </si>
  <si>
    <t>S3</t>
  </si>
  <si>
    <t>Total Cost</t>
  </si>
  <si>
    <t>A juice bar sells two products:</t>
  </si>
  <si>
    <t>Each type of juice requires fruits and bottling time, and the bar has limited resources each day.</t>
  </si>
  <si>
    <t>| Availability per day |</t>
  </si>
  <si>
    <t>| :------------------: |</t>
  </si>
  <si>
    <t>| Bottling Time (min)</t>
  </si>
  <si>
    <t>| 3 min</t>
  </si>
  <si>
    <t>| Profit per unit</t>
  </si>
  <si>
    <t>Tropical Juice (T)</t>
  </si>
  <si>
    <t>Berry Juice (B)</t>
  </si>
  <si>
    <t xml:space="preserve">| Resource              </t>
  </si>
  <si>
    <t xml:space="preserve">| :------:             </t>
  </si>
  <si>
    <t xml:space="preserve">| Tropical Juice (T) </t>
  </si>
  <si>
    <t>| Berry Juice (B)</t>
  </si>
  <si>
    <t xml:space="preserve">| :----------------: </t>
  </si>
  <si>
    <t>| :-----------:</t>
  </si>
  <si>
    <t>| 100 kg               |</t>
  </si>
  <si>
    <t xml:space="preserve">       </t>
  </si>
  <si>
    <t xml:space="preserve">           </t>
  </si>
  <si>
    <t>| —                    |</t>
  </si>
  <si>
    <t>| 120 min              |</t>
  </si>
  <si>
    <t xml:space="preserve">Write a code to take all current information and maximize the total profit. </t>
  </si>
  <si>
    <t>What would happen if the Juice bar could make the tropical Juice botling tim 1 minute faster?</t>
  </si>
  <si>
    <t>| 2 min</t>
  </si>
  <si>
    <t>| 1 kg</t>
  </si>
  <si>
    <t>| $2</t>
  </si>
  <si>
    <t>| $3</t>
  </si>
  <si>
    <t xml:space="preserve">| Fruits (kg)           </t>
  </si>
  <si>
    <t xml:space="preserve">| 2 kg               </t>
  </si>
  <si>
    <t>Facility Selection and Production Planning</t>
  </si>
  <si>
    <t>A company is considering opening up to 2 out of 3 factories to produce a specific car part. Each factory has a fixed cost</t>
  </si>
  <si>
    <t>if opened and variable production cost per unit. The goal is to meet customer demand at minimum total cost.</t>
  </si>
  <si>
    <t>| Factory</t>
  </si>
  <si>
    <t>| Fixed Cost ($)</t>
  </si>
  <si>
    <t>| Variable Cost per Unit ($)</t>
  </si>
  <si>
    <t>| Capacity (units) |</t>
  </si>
  <si>
    <t xml:space="preserve">|    A   </t>
  </si>
  <si>
    <t xml:space="preserve">|    10,000     </t>
  </si>
  <si>
    <t xml:space="preserve">|             5             </t>
  </si>
  <si>
    <t>| :---------:</t>
  </si>
  <si>
    <t>| :------------------:</t>
  </si>
  <si>
    <t>| :------------------------------:</t>
  </si>
  <si>
    <t>|       100                 |</t>
  </si>
  <si>
    <t xml:space="preserve">|    B   </t>
  </si>
  <si>
    <t xml:space="preserve">|    C   </t>
  </si>
  <si>
    <t xml:space="preserve">|    12,000     </t>
  </si>
  <si>
    <t xml:space="preserve">|    8,000      </t>
  </si>
  <si>
    <t xml:space="preserve">|             6             </t>
  </si>
  <si>
    <t>|       120        |</t>
  </si>
  <si>
    <t xml:space="preserve">|             4             </t>
  </si>
  <si>
    <t xml:space="preserve">|       90         |        </t>
  </si>
  <si>
    <t>Demand: 180 units</t>
  </si>
  <si>
    <t>Constraint: Open at most 2 factories</t>
  </si>
  <si>
    <t xml:space="preserve">Write a code to take all current information and minimize the cost of production. </t>
  </si>
  <si>
    <t>What would happen if we the company could reduce the Fixed Cost of Factory C by 20%?</t>
  </si>
  <si>
    <t>Z = 40X + 50Y</t>
  </si>
  <si>
    <t>X + Y &lt;= 100</t>
  </si>
  <si>
    <t>2X + 3Y &lt;= 250</t>
  </si>
  <si>
    <t>3X + 2Y &lt;= 350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</si>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</sst>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Graphical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Broken!$H$8</c:f>
              <c:strCache>
                <c:ptCount val="1"/>
                <c:pt idx="0">
                  <c:v>y=100-x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Broken!$G$9:$G$19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Broken!$H$9:$H$19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F-4184-8216-DC99648F468F}"/>
            </c:ext>
          </c:extLst>
        </c:ser>
        <c:ser>
          <c:idx val="1"/>
          <c:order val="1"/>
          <c:tx>
            <c:strRef>
              <c:f>Broken!$I$8</c:f>
              <c:strCache>
                <c:ptCount val="1"/>
                <c:pt idx="0">
                  <c:v>y=(250-2x)/3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Broken!$G$9:$G$19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Broken!$I$9:$I$19</c:f>
              <c:numCache>
                <c:formatCode>General</c:formatCode>
                <c:ptCount val="11"/>
                <c:pt idx="0">
                  <c:v>83.333333333333329</c:v>
                </c:pt>
                <c:pt idx="1">
                  <c:v>76.666666666666671</c:v>
                </c:pt>
                <c:pt idx="2">
                  <c:v>70</c:v>
                </c:pt>
                <c:pt idx="3">
                  <c:v>63.333333333333336</c:v>
                </c:pt>
                <c:pt idx="4">
                  <c:v>56.666666666666664</c:v>
                </c:pt>
                <c:pt idx="5">
                  <c:v>50</c:v>
                </c:pt>
                <c:pt idx="6">
                  <c:v>43.333333333333336</c:v>
                </c:pt>
                <c:pt idx="7">
                  <c:v>36.666666666666664</c:v>
                </c:pt>
                <c:pt idx="8">
                  <c:v>30</c:v>
                </c:pt>
                <c:pt idx="9">
                  <c:v>23.333333333333332</c:v>
                </c:pt>
                <c:pt idx="10">
                  <c:v>16.666666666666668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7F-4184-8216-DC99648F468F}"/>
            </c:ext>
          </c:extLst>
        </c:ser>
        <c:ser>
          <c:idx val="2"/>
          <c:order val="2"/>
          <c:tx>
            <c:strRef>
              <c:f>Broken!$J$8</c:f>
              <c:strCache>
                <c:ptCount val="1"/>
                <c:pt idx="0">
                  <c:v>y=(350-3x)/4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Broken!$G$9:$G$19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Broken!$J$9:$J$19</c:f>
              <c:numCache>
                <c:formatCode>General</c:formatCode>
                <c:ptCount val="11"/>
                <c:pt idx="0">
                  <c:v>87.5</c:v>
                </c:pt>
                <c:pt idx="1">
                  <c:v>80</c:v>
                </c:pt>
                <c:pt idx="2">
                  <c:v>72.5</c:v>
                </c:pt>
                <c:pt idx="3">
                  <c:v>65</c:v>
                </c:pt>
                <c:pt idx="4">
                  <c:v>57.5</c:v>
                </c:pt>
                <c:pt idx="5">
                  <c:v>50</c:v>
                </c:pt>
                <c:pt idx="6">
                  <c:v>42.5</c:v>
                </c:pt>
                <c:pt idx="7">
                  <c:v>35</c:v>
                </c:pt>
                <c:pt idx="8">
                  <c:v>27.5</c:v>
                </c:pt>
                <c:pt idx="9">
                  <c:v>20</c:v>
                </c:pt>
                <c:pt idx="10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7F-4184-8216-DC99648F4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152927"/>
        <c:axId val="778161567"/>
      </c:scatterChart>
      <c:valAx>
        <c:axId val="778152927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61567"/>
        <c:crosses val="autoZero"/>
        <c:crossBetween val="midCat"/>
      </c:valAx>
      <c:valAx>
        <c:axId val="77816156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52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Graphical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Point!$H$8</c:f>
              <c:strCache>
                <c:ptCount val="1"/>
                <c:pt idx="0">
                  <c:v>y=(17-2x)/3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Point!$G$9:$G$15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Point!$H$9:$H$15</c:f>
              <c:numCache>
                <c:formatCode>0.00</c:formatCode>
                <c:ptCount val="7"/>
                <c:pt idx="0">
                  <c:v>5.666666666666667</c:v>
                </c:pt>
                <c:pt idx="1">
                  <c:v>5</c:v>
                </c:pt>
                <c:pt idx="2">
                  <c:v>4.333333333333333</c:v>
                </c:pt>
                <c:pt idx="3">
                  <c:v>3.6666666666666665</c:v>
                </c:pt>
                <c:pt idx="4">
                  <c:v>3</c:v>
                </c:pt>
                <c:pt idx="5">
                  <c:v>2.3333333333333335</c:v>
                </c:pt>
                <c:pt idx="6">
                  <c:v>1.6666666666666667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C8-4740-A883-CA4A82D1D20C}"/>
            </c:ext>
          </c:extLst>
        </c:ser>
        <c:ser>
          <c:idx val="1"/>
          <c:order val="1"/>
          <c:tx>
            <c:strRef>
              <c:f>Point!$I$8</c:f>
              <c:strCache>
                <c:ptCount val="1"/>
                <c:pt idx="0">
                  <c:v>y=(45-10x)/3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Point!$G$9:$G$15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Point!$I$9:$I$15</c:f>
              <c:numCache>
                <c:formatCode>0.00</c:formatCode>
                <c:ptCount val="7"/>
                <c:pt idx="0">
                  <c:v>15</c:v>
                </c:pt>
                <c:pt idx="1">
                  <c:v>11.666666666666666</c:v>
                </c:pt>
                <c:pt idx="2">
                  <c:v>8.3333333333333339</c:v>
                </c:pt>
                <c:pt idx="3">
                  <c:v>5</c:v>
                </c:pt>
                <c:pt idx="4">
                  <c:v>1.6666666666666667</c:v>
                </c:pt>
                <c:pt idx="5">
                  <c:v>-1.6666666666666667</c:v>
                </c:pt>
                <c:pt idx="6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C8-4740-A883-CA4A82D1D20C}"/>
            </c:ext>
          </c:extLst>
        </c:ser>
        <c:ser>
          <c:idx val="2"/>
          <c:order val="2"/>
          <c:tx>
            <c:strRef>
              <c:f>Point!$J$8</c:f>
              <c:strCache>
                <c:ptCount val="1"/>
                <c:pt idx="0">
                  <c:v>y=(Z-5x)/2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Point!$G$9:$G$15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Point!$J$9:$J$15</c:f>
              <c:numCache>
                <c:formatCode>0.00</c:formatCode>
                <c:ptCount val="7"/>
                <c:pt idx="0">
                  <c:v>12</c:v>
                </c:pt>
                <c:pt idx="1">
                  <c:v>9.5</c:v>
                </c:pt>
                <c:pt idx="2">
                  <c:v>7</c:v>
                </c:pt>
                <c:pt idx="3">
                  <c:v>4.5</c:v>
                </c:pt>
                <c:pt idx="4">
                  <c:v>2</c:v>
                </c:pt>
                <c:pt idx="5">
                  <c:v>-0.5</c:v>
                </c:pt>
                <c:pt idx="6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C8-4740-A883-CA4A82D1D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649919"/>
        <c:axId val="1677650399"/>
      </c:scatterChart>
      <c:valAx>
        <c:axId val="1677649919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50399"/>
        <c:crosses val="autoZero"/>
        <c:crossBetween val="midCat"/>
      </c:valAx>
      <c:valAx>
        <c:axId val="16776503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49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Graphical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B&amp;B'!$H$8</c:f>
              <c:strCache>
                <c:ptCount val="1"/>
                <c:pt idx="0">
                  <c:v>y=(17-2x)/3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'Graph B&amp;B'!$G$9:$G$15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'Graph B&amp;B'!$H$9:$H$15</c:f>
              <c:numCache>
                <c:formatCode>0.00</c:formatCode>
                <c:ptCount val="7"/>
                <c:pt idx="0">
                  <c:v>5.666666666666667</c:v>
                </c:pt>
                <c:pt idx="1">
                  <c:v>5</c:v>
                </c:pt>
                <c:pt idx="2">
                  <c:v>4.333333333333333</c:v>
                </c:pt>
                <c:pt idx="3">
                  <c:v>3.6666666666666665</c:v>
                </c:pt>
                <c:pt idx="4">
                  <c:v>3</c:v>
                </c:pt>
                <c:pt idx="5">
                  <c:v>2.3333333333333335</c:v>
                </c:pt>
                <c:pt idx="6">
                  <c:v>1.6666666666666667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1-47C3-8C7B-59953E4C8BBC}"/>
            </c:ext>
          </c:extLst>
        </c:ser>
        <c:ser>
          <c:idx val="1"/>
          <c:order val="1"/>
          <c:tx>
            <c:strRef>
              <c:f>'Graph B&amp;B'!$I$8</c:f>
              <c:strCache>
                <c:ptCount val="1"/>
                <c:pt idx="0">
                  <c:v>y=(45-10x)/3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'Graph B&amp;B'!$G$9:$G$15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'Graph B&amp;B'!$I$9:$I$15</c:f>
              <c:numCache>
                <c:formatCode>0.00</c:formatCode>
                <c:ptCount val="7"/>
                <c:pt idx="0">
                  <c:v>15</c:v>
                </c:pt>
                <c:pt idx="1">
                  <c:v>11.666666666666666</c:v>
                </c:pt>
                <c:pt idx="2">
                  <c:v>8.3333333333333339</c:v>
                </c:pt>
                <c:pt idx="3">
                  <c:v>5</c:v>
                </c:pt>
                <c:pt idx="4">
                  <c:v>1.6666666666666667</c:v>
                </c:pt>
                <c:pt idx="5">
                  <c:v>-1.6666666666666667</c:v>
                </c:pt>
                <c:pt idx="6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1-47C3-8C7B-59953E4C8BBC}"/>
            </c:ext>
          </c:extLst>
        </c:ser>
        <c:ser>
          <c:idx val="2"/>
          <c:order val="2"/>
          <c:tx>
            <c:strRef>
              <c:f>'Graph B&amp;B'!$J$8</c:f>
              <c:strCache>
                <c:ptCount val="1"/>
                <c:pt idx="0">
                  <c:v>y=(Z-5x)/2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'Graph B&amp;B'!$G$9:$G$15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'Graph B&amp;B'!$J$9:$J$15</c:f>
              <c:numCache>
                <c:formatCode>0.00</c:formatCode>
                <c:ptCount val="7"/>
                <c:pt idx="0">
                  <c:v>0</c:v>
                </c:pt>
                <c:pt idx="1">
                  <c:v>-2.5</c:v>
                </c:pt>
                <c:pt idx="2">
                  <c:v>-5</c:v>
                </c:pt>
                <c:pt idx="3">
                  <c:v>-7.5</c:v>
                </c:pt>
                <c:pt idx="4">
                  <c:v>-10</c:v>
                </c:pt>
                <c:pt idx="5">
                  <c:v>-12.5</c:v>
                </c:pt>
                <c:pt idx="6">
                  <c:v>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B1-47C3-8C7B-59953E4C8BBC}"/>
            </c:ext>
          </c:extLst>
        </c:ser>
        <c:ser>
          <c:idx val="3"/>
          <c:order val="3"/>
          <c:tx>
            <c:strRef>
              <c:f>'Graph B&amp;B'!$L$8</c:f>
              <c:strCache>
                <c:ptCount val="1"/>
                <c:pt idx="0">
                  <c:v>x=4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'Graph B&amp;B'!$L$9:$L$10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'Graph B&amp;B'!$M$9:$M$10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1-47C3-8C7B-59953E4C8BBC}"/>
            </c:ext>
          </c:extLst>
        </c:ser>
        <c:ser>
          <c:idx val="4"/>
          <c:order val="4"/>
          <c:tx>
            <c:strRef>
              <c:f>'Graph B&amp;B'!$M$12</c:f>
              <c:strCache>
                <c:ptCount val="1"/>
                <c:pt idx="0">
                  <c:v>y=1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'Graph B&amp;B'!$L$13:$L$14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'Graph B&amp;B'!$M$13:$M$14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B1-47C3-8C7B-59953E4C8BBC}"/>
            </c:ext>
          </c:extLst>
        </c:ser>
        <c:ser>
          <c:idx val="5"/>
          <c:order val="5"/>
          <c:tx>
            <c:strRef>
              <c:f>'Graph B&amp;B'!$L$16</c:f>
              <c:strCache>
                <c:ptCount val="1"/>
                <c:pt idx="0">
                  <c:v>x=4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'Graph B&amp;B'!$L$17:$L$18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'Graph B&amp;B'!$M$17:$M$18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B1-47C3-8C7B-59953E4C8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7649919"/>
        <c:axId val="1677650399"/>
      </c:scatterChart>
      <c:valAx>
        <c:axId val="1677649919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50399"/>
        <c:crosses val="autoZero"/>
        <c:crossBetween val="midCat"/>
      </c:valAx>
      <c:valAx>
        <c:axId val="1677650399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649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35719</xdr:colOff>
      <xdr:row>5</xdr:row>
      <xdr:rowOff>66675</xdr:rowOff>
    </xdr:from>
    <xdr:ext cx="1706044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EBDE8C-EC30-6FAF-50FF-EC42B997C4E2}"/>
                </a:ext>
              </a:extLst>
            </xdr:cNvPr>
            <xdr:cNvSpPr txBox="1"/>
          </xdr:nvSpPr>
          <xdr:spPr>
            <a:xfrm>
              <a:off x="1331119" y="971550"/>
              <a:ext cx="1706044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=40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+50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EBDE8C-EC30-6FAF-50FF-EC42B997C4E2}"/>
                </a:ext>
              </a:extLst>
            </xdr:cNvPr>
            <xdr:cNvSpPr txBox="1"/>
          </xdr:nvSpPr>
          <xdr:spPr>
            <a:xfrm>
              <a:off x="1331119" y="971550"/>
              <a:ext cx="1706044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𝑍=40𝑥+50𝑦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2</xdr:col>
      <xdr:colOff>69057</xdr:colOff>
      <xdr:row>9</xdr:row>
      <xdr:rowOff>9525</xdr:rowOff>
    </xdr:from>
    <xdr:ext cx="1406347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6348EB-E7D6-4725-84F2-64622D1F4706}"/>
                </a:ext>
              </a:extLst>
            </xdr:cNvPr>
            <xdr:cNvSpPr txBox="1"/>
          </xdr:nvSpPr>
          <xdr:spPr>
            <a:xfrm>
              <a:off x="1364457" y="1638300"/>
              <a:ext cx="1406347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≤100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6348EB-E7D6-4725-84F2-64622D1F4706}"/>
                </a:ext>
              </a:extLst>
            </xdr:cNvPr>
            <xdr:cNvSpPr txBox="1"/>
          </xdr:nvSpPr>
          <xdr:spPr>
            <a:xfrm>
              <a:off x="1364457" y="1638300"/>
              <a:ext cx="1406347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𝑥+𝑦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≤100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2</xdr:col>
      <xdr:colOff>54770</xdr:colOff>
      <xdr:row>11</xdr:row>
      <xdr:rowOff>114300</xdr:rowOff>
    </xdr:from>
    <xdr:ext cx="1690399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16D102E-D965-45CD-9874-2DC0FE0D0EC6}"/>
                </a:ext>
              </a:extLst>
            </xdr:cNvPr>
            <xdr:cNvSpPr txBox="1"/>
          </xdr:nvSpPr>
          <xdr:spPr>
            <a:xfrm>
              <a:off x="1350170" y="2105025"/>
              <a:ext cx="1690399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≤250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16D102E-D965-45CD-9874-2DC0FE0D0EC6}"/>
                </a:ext>
              </a:extLst>
            </xdr:cNvPr>
            <xdr:cNvSpPr txBox="1"/>
          </xdr:nvSpPr>
          <xdr:spPr>
            <a:xfrm>
              <a:off x="1350170" y="2105025"/>
              <a:ext cx="1690399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2𝑥+3𝑦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≤250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2</xdr:col>
      <xdr:colOff>30957</xdr:colOff>
      <xdr:row>14</xdr:row>
      <xdr:rowOff>85725</xdr:rowOff>
    </xdr:from>
    <xdr:ext cx="1690399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71366D-60E3-4599-A725-99B7896CFAE4}"/>
                </a:ext>
              </a:extLst>
            </xdr:cNvPr>
            <xdr:cNvSpPr txBox="1"/>
          </xdr:nvSpPr>
          <xdr:spPr>
            <a:xfrm>
              <a:off x="1326357" y="2619375"/>
              <a:ext cx="1690399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+4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≤350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71366D-60E3-4599-A725-99B7896CFAE4}"/>
                </a:ext>
              </a:extLst>
            </xdr:cNvPr>
            <xdr:cNvSpPr txBox="1"/>
          </xdr:nvSpPr>
          <xdr:spPr>
            <a:xfrm>
              <a:off x="1326357" y="2619375"/>
              <a:ext cx="1690399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3𝑥+4𝑦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≤350</a:t>
              </a:r>
              <a:endParaRPr lang="en-CA" sz="2000"/>
            </a:p>
          </xdr:txBody>
        </xdr:sp>
      </mc:Fallback>
    </mc:AlternateContent>
    <xdr:clientData/>
  </xdr:oneCellAnchor>
  <xdr:twoCellAnchor>
    <xdr:from>
      <xdr:col>11</xdr:col>
      <xdr:colOff>88105</xdr:colOff>
      <xdr:row>1</xdr:row>
      <xdr:rowOff>14287</xdr:rowOff>
    </xdr:from>
    <xdr:to>
      <xdr:col>24</xdr:col>
      <xdr:colOff>319088</xdr:colOff>
      <xdr:row>22</xdr:row>
      <xdr:rowOff>195263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FD304D-5DAC-593E-B888-80394C911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157163</xdr:colOff>
      <xdr:row>3</xdr:row>
      <xdr:rowOff>0</xdr:rowOff>
    </xdr:from>
    <xdr:ext cx="2492670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CE61C0-3CF9-42E4-A783-BF1FE67B491F}"/>
                </a:ext>
              </a:extLst>
            </xdr:cNvPr>
            <xdr:cNvSpPr txBox="1"/>
          </xdr:nvSpPr>
          <xdr:spPr>
            <a:xfrm>
              <a:off x="804863" y="542925"/>
              <a:ext cx="2492670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=20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+30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+15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𝑤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CE61C0-3CF9-42E4-A783-BF1FE67B491F}"/>
                </a:ext>
              </a:extLst>
            </xdr:cNvPr>
            <xdr:cNvSpPr txBox="1"/>
          </xdr:nvSpPr>
          <xdr:spPr>
            <a:xfrm>
              <a:off x="804863" y="542925"/>
              <a:ext cx="2492670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𝑍=20𝑥+30𝑦+15𝑤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1</xdr:col>
      <xdr:colOff>166688</xdr:colOff>
      <xdr:row>6</xdr:row>
      <xdr:rowOff>90488</xdr:rowOff>
    </xdr:from>
    <xdr:ext cx="2192973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533119-645E-4722-B2AB-8450DB638CD3}"/>
                </a:ext>
              </a:extLst>
            </xdr:cNvPr>
            <xdr:cNvSpPr txBox="1"/>
          </xdr:nvSpPr>
          <xdr:spPr>
            <a:xfrm>
              <a:off x="814388" y="1176338"/>
              <a:ext cx="2192973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+5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≤55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E533119-645E-4722-B2AB-8450DB638CD3}"/>
                </a:ext>
              </a:extLst>
            </xdr:cNvPr>
            <xdr:cNvSpPr txBox="1"/>
          </xdr:nvSpPr>
          <xdr:spPr>
            <a:xfrm>
              <a:off x="814388" y="1176338"/>
              <a:ext cx="2192973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3𝑥+2𝑦+5𝑤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≤55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1</xdr:col>
      <xdr:colOff>180975</xdr:colOff>
      <xdr:row>9</xdr:row>
      <xdr:rowOff>123826</xdr:rowOff>
    </xdr:from>
    <xdr:ext cx="2050946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C748566-FC14-492F-AE81-C57C22F9CC8D}"/>
                </a:ext>
              </a:extLst>
            </xdr:cNvPr>
            <xdr:cNvSpPr txBox="1"/>
          </xdr:nvSpPr>
          <xdr:spPr>
            <a:xfrm>
              <a:off x="828675" y="1752601"/>
              <a:ext cx="2050946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+4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≤40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C748566-FC14-492F-AE81-C57C22F9CC8D}"/>
                </a:ext>
              </a:extLst>
            </xdr:cNvPr>
            <xdr:cNvSpPr txBox="1"/>
          </xdr:nvSpPr>
          <xdr:spPr>
            <a:xfrm>
              <a:off x="828675" y="1752601"/>
              <a:ext cx="2050946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2𝑥+4𝑦+𝑤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≤40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1</xdr:col>
      <xdr:colOff>180975</xdr:colOff>
      <xdr:row>12</xdr:row>
      <xdr:rowOff>138114</xdr:rowOff>
    </xdr:from>
    <xdr:ext cx="2050946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CBEA164-E408-42BA-925B-28EAE32D254D}"/>
                </a:ext>
              </a:extLst>
            </xdr:cNvPr>
            <xdr:cNvSpPr txBox="1"/>
          </xdr:nvSpPr>
          <xdr:spPr>
            <a:xfrm>
              <a:off x="828675" y="2309814"/>
              <a:ext cx="2050946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≤30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CBEA164-E408-42BA-925B-28EAE32D254D}"/>
                </a:ext>
              </a:extLst>
            </xdr:cNvPr>
            <xdr:cNvSpPr txBox="1"/>
          </xdr:nvSpPr>
          <xdr:spPr>
            <a:xfrm>
              <a:off x="828675" y="2309814"/>
              <a:ext cx="2050946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2000" b="0" i="0">
                  <a:latin typeface="Cambria Math" panose="02040503050406030204" pitchFamily="18" charset="0"/>
                </a:rPr>
                <a:t>𝑥+3𝑦+2𝑤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≤30</a:t>
              </a:r>
              <a:endParaRPr lang="en-CA" sz="2000"/>
            </a:p>
          </xdr:txBody>
        </xdr:sp>
      </mc:Fallback>
    </mc:AlternateContent>
    <xdr:clientData/>
  </xdr:oneCellAnchor>
  <xdr:twoCellAnchor>
    <xdr:from>
      <xdr:col>15</xdr:col>
      <xdr:colOff>280988</xdr:colOff>
      <xdr:row>4</xdr:row>
      <xdr:rowOff>33338</xdr:rowOff>
    </xdr:from>
    <xdr:to>
      <xdr:col>17</xdr:col>
      <xdr:colOff>371475</xdr:colOff>
      <xdr:row>9</xdr:row>
      <xdr:rowOff>76201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25F4842-CCB2-1F9E-A777-1B1B15D11F0D}"/>
            </a:ext>
          </a:extLst>
        </xdr:cNvPr>
        <xdr:cNvSpPr txBox="1"/>
      </xdr:nvSpPr>
      <xdr:spPr>
        <a:xfrm>
          <a:off x="9996488" y="947738"/>
          <a:ext cx="1385887" cy="118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u="sng" baseline="0"/>
            <a:t>Original Problem</a:t>
          </a:r>
        </a:p>
        <a:p>
          <a:pPr algn="ctr"/>
          <a:r>
            <a:rPr lang="en-CA" sz="1400" baseline="0"/>
            <a:t>Z=387.5</a:t>
          </a:r>
        </a:p>
        <a:p>
          <a:pPr algn="ctr"/>
          <a:r>
            <a:rPr lang="en-CA" sz="1400" baseline="0"/>
            <a:t>x=17.5</a:t>
          </a:r>
        </a:p>
        <a:p>
          <a:pPr algn="ctr"/>
          <a:r>
            <a:rPr lang="en-CA" sz="1400" baseline="0"/>
            <a:t>y=1.25</a:t>
          </a:r>
        </a:p>
        <a:p>
          <a:pPr algn="ctr"/>
          <a:r>
            <a:rPr lang="en-CA" sz="1400" baseline="0"/>
            <a:t>z=0</a:t>
          </a:r>
        </a:p>
      </xdr:txBody>
    </xdr:sp>
    <xdr:clientData/>
  </xdr:twoCellAnchor>
  <xdr:twoCellAnchor>
    <xdr:from>
      <xdr:col>15</xdr:col>
      <xdr:colOff>157163</xdr:colOff>
      <xdr:row>9</xdr:row>
      <xdr:rowOff>76201</xdr:rowOff>
    </xdr:from>
    <xdr:to>
      <xdr:col>16</xdr:col>
      <xdr:colOff>326232</xdr:colOff>
      <xdr:row>13</xdr:row>
      <xdr:rowOff>52388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1A7A08D-3B9E-41DC-FDD8-10E85189881E}"/>
            </a:ext>
          </a:extLst>
        </xdr:cNvPr>
        <xdr:cNvCxnSpPr>
          <a:cxnSpLocks/>
          <a:stCxn id="6" idx="2"/>
        </xdr:cNvCxnSpPr>
      </xdr:nvCxnSpPr>
      <xdr:spPr>
        <a:xfrm flipH="1">
          <a:off x="9872663" y="2133601"/>
          <a:ext cx="816769" cy="890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326232</xdr:colOff>
      <xdr:row>9</xdr:row>
      <xdr:rowOff>76201</xdr:rowOff>
    </xdr:from>
    <xdr:to>
      <xdr:col>17</xdr:col>
      <xdr:colOff>471488</xdr:colOff>
      <xdr:row>13</xdr:row>
      <xdr:rowOff>57150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2B2202F-7298-4F27-AF67-5F52612E1A60}"/>
            </a:ext>
          </a:extLst>
        </xdr:cNvPr>
        <xdr:cNvCxnSpPr>
          <a:cxnSpLocks/>
          <a:stCxn id="6" idx="2"/>
        </xdr:cNvCxnSpPr>
      </xdr:nvCxnSpPr>
      <xdr:spPr>
        <a:xfrm>
          <a:off x="10689432" y="2133601"/>
          <a:ext cx="792956" cy="8953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378619</xdr:colOff>
      <xdr:row>10</xdr:row>
      <xdr:rowOff>119063</xdr:rowOff>
    </xdr:from>
    <xdr:ext cx="729687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9D7D83A-148E-ED49-784F-0B396330552A}"/>
                </a:ext>
              </a:extLst>
            </xdr:cNvPr>
            <xdr:cNvSpPr txBox="1"/>
          </xdr:nvSpPr>
          <xdr:spPr>
            <a:xfrm>
              <a:off x="9446419" y="2405063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≤17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9D7D83A-148E-ED49-784F-0B396330552A}"/>
                </a:ext>
              </a:extLst>
            </xdr:cNvPr>
            <xdr:cNvSpPr txBox="1"/>
          </xdr:nvSpPr>
          <xdr:spPr>
            <a:xfrm>
              <a:off x="9446419" y="2405063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𝑥≤17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17</xdr:col>
      <xdr:colOff>240507</xdr:colOff>
      <xdr:row>10</xdr:row>
      <xdr:rowOff>152400</xdr:rowOff>
    </xdr:from>
    <xdr:ext cx="729687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D66D902-FEF4-46FA-95E1-A3F5B92CCF20}"/>
                </a:ext>
              </a:extLst>
            </xdr:cNvPr>
            <xdr:cNvSpPr txBox="1"/>
          </xdr:nvSpPr>
          <xdr:spPr>
            <a:xfrm>
              <a:off x="11251407" y="2438400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≥18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9D66D902-FEF4-46FA-95E1-A3F5B92CCF20}"/>
                </a:ext>
              </a:extLst>
            </xdr:cNvPr>
            <xdr:cNvSpPr txBox="1"/>
          </xdr:nvSpPr>
          <xdr:spPr>
            <a:xfrm>
              <a:off x="11251407" y="2438400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𝑥≥18</a:t>
              </a:r>
              <a:endParaRPr lang="en-CA" sz="1800"/>
            </a:p>
          </xdr:txBody>
        </xdr:sp>
      </mc:Fallback>
    </mc:AlternateContent>
    <xdr:clientData/>
  </xdr:oneCellAnchor>
  <xdr:twoCellAnchor>
    <xdr:from>
      <xdr:col>13</xdr:col>
      <xdr:colOff>557213</xdr:colOff>
      <xdr:row>13</xdr:row>
      <xdr:rowOff>42863</xdr:rowOff>
    </xdr:from>
    <xdr:to>
      <xdr:col>16</xdr:col>
      <xdr:colOff>28574</xdr:colOff>
      <xdr:row>18</xdr:row>
      <xdr:rowOff>85726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28613E-134F-4885-8F7F-2135E1D1FE13}"/>
            </a:ext>
          </a:extLst>
        </xdr:cNvPr>
        <xdr:cNvSpPr txBox="1"/>
      </xdr:nvSpPr>
      <xdr:spPr>
        <a:xfrm>
          <a:off x="8977313" y="3014663"/>
          <a:ext cx="1414461" cy="118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/>
            <a:t>Sub-Problem 1 </a:t>
          </a:r>
          <a:r>
            <a:rPr lang="en-CA" sz="1400" baseline="0"/>
            <a:t>Z=386.67</a:t>
          </a:r>
        </a:p>
        <a:p>
          <a:pPr algn="ctr"/>
          <a:r>
            <a:rPr lang="en-CA" sz="1400" baseline="0"/>
            <a:t>x=17</a:t>
          </a:r>
        </a:p>
        <a:p>
          <a:pPr algn="ctr"/>
          <a:r>
            <a:rPr lang="en-CA" sz="1400" baseline="0"/>
            <a:t>y=1.44</a:t>
          </a:r>
        </a:p>
        <a:p>
          <a:pPr algn="ctr"/>
          <a:r>
            <a:rPr lang="en-CA" sz="1400" baseline="0"/>
            <a:t>z=0.22</a:t>
          </a:r>
        </a:p>
      </xdr:txBody>
    </xdr:sp>
    <xdr:clientData/>
  </xdr:twoCellAnchor>
  <xdr:twoCellAnchor>
    <xdr:from>
      <xdr:col>16</xdr:col>
      <xdr:colOff>585789</xdr:colOff>
      <xdr:row>13</xdr:row>
      <xdr:rowOff>38101</xdr:rowOff>
    </xdr:from>
    <xdr:to>
      <xdr:col>19</xdr:col>
      <xdr:colOff>4763</xdr:colOff>
      <xdr:row>18</xdr:row>
      <xdr:rowOff>80964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EAC9E7-A301-4C3E-AB0D-00E05F9700A2}"/>
            </a:ext>
          </a:extLst>
        </xdr:cNvPr>
        <xdr:cNvSpPr txBox="1"/>
      </xdr:nvSpPr>
      <xdr:spPr>
        <a:xfrm>
          <a:off x="10948989" y="3009901"/>
          <a:ext cx="1362074" cy="118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Sub-Problem 2 </a:t>
          </a:r>
          <a:endParaRPr lang="en-CA" sz="1400" baseline="0"/>
        </a:p>
        <a:p>
          <a:pPr algn="ctr"/>
          <a:r>
            <a:rPr lang="en-CA" sz="1400" baseline="0"/>
            <a:t>Z=375</a:t>
          </a:r>
        </a:p>
        <a:p>
          <a:pPr algn="ctr"/>
          <a:r>
            <a:rPr lang="en-CA" sz="1400" baseline="0"/>
            <a:t>x=18</a:t>
          </a:r>
        </a:p>
        <a:p>
          <a:pPr algn="ctr"/>
          <a:r>
            <a:rPr lang="en-CA" sz="1400" baseline="0"/>
            <a:t>y=0.5</a:t>
          </a:r>
        </a:p>
        <a:p>
          <a:pPr algn="ctr"/>
          <a:r>
            <a:rPr lang="en-CA" sz="1400" baseline="0"/>
            <a:t>z=0</a:t>
          </a:r>
        </a:p>
      </xdr:txBody>
    </xdr:sp>
    <xdr:clientData/>
  </xdr:twoCellAnchor>
  <xdr:twoCellAnchor>
    <xdr:from>
      <xdr:col>13</xdr:col>
      <xdr:colOff>409575</xdr:colOff>
      <xdr:row>18</xdr:row>
      <xdr:rowOff>85726</xdr:rowOff>
    </xdr:from>
    <xdr:to>
      <xdr:col>14</xdr:col>
      <xdr:colOff>573881</xdr:colOff>
      <xdr:row>22</xdr:row>
      <xdr:rowOff>61913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1C13A66-F776-4CBE-8E56-96D22E6D1D7A}"/>
            </a:ext>
          </a:extLst>
        </xdr:cNvPr>
        <xdr:cNvCxnSpPr/>
      </xdr:nvCxnSpPr>
      <xdr:spPr>
        <a:xfrm flipH="1">
          <a:off x="8829675" y="4200526"/>
          <a:ext cx="812006" cy="890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597694</xdr:colOff>
      <xdr:row>18</xdr:row>
      <xdr:rowOff>104776</xdr:rowOff>
    </xdr:from>
    <xdr:to>
      <xdr:col>16</xdr:col>
      <xdr:colOff>100013</xdr:colOff>
      <xdr:row>22</xdr:row>
      <xdr:rowOff>85725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D06EE79-9900-436A-93BD-D5B6DD81DBBF}"/>
            </a:ext>
          </a:extLst>
        </xdr:cNvPr>
        <xdr:cNvCxnSpPr/>
      </xdr:nvCxnSpPr>
      <xdr:spPr>
        <a:xfrm>
          <a:off x="9665494" y="4219576"/>
          <a:ext cx="797719" cy="8953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564356</xdr:colOff>
      <xdr:row>19</xdr:row>
      <xdr:rowOff>133350</xdr:rowOff>
    </xdr:from>
    <xdr:ext cx="60516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DFCD8AE-486F-48B2-9D4E-0550FEAAF797}"/>
                </a:ext>
              </a:extLst>
            </xdr:cNvPr>
            <xdr:cNvSpPr txBox="1"/>
          </xdr:nvSpPr>
          <xdr:spPr>
            <a:xfrm>
              <a:off x="8336756" y="4476750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≤1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DDFCD8AE-486F-48B2-9D4E-0550FEAAF797}"/>
                </a:ext>
              </a:extLst>
            </xdr:cNvPr>
            <xdr:cNvSpPr txBox="1"/>
          </xdr:nvSpPr>
          <xdr:spPr>
            <a:xfrm>
              <a:off x="8336756" y="4476750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𝑦≤1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15</xdr:col>
      <xdr:colOff>554831</xdr:colOff>
      <xdr:row>19</xdr:row>
      <xdr:rowOff>190500</xdr:rowOff>
    </xdr:from>
    <xdr:ext cx="60516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F530134-1D88-4564-A890-3C73EF5C7A8B}"/>
                </a:ext>
              </a:extLst>
            </xdr:cNvPr>
            <xdr:cNvSpPr txBox="1"/>
          </xdr:nvSpPr>
          <xdr:spPr>
            <a:xfrm>
              <a:off x="10270331" y="4533900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≥2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F530134-1D88-4564-A890-3C73EF5C7A8B}"/>
                </a:ext>
              </a:extLst>
            </xdr:cNvPr>
            <xdr:cNvSpPr txBox="1"/>
          </xdr:nvSpPr>
          <xdr:spPr>
            <a:xfrm>
              <a:off x="10270331" y="4533900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𝑦≥2</a:t>
              </a:r>
              <a:endParaRPr lang="en-CA" sz="1800"/>
            </a:p>
          </xdr:txBody>
        </xdr:sp>
      </mc:Fallback>
    </mc:AlternateContent>
    <xdr:clientData/>
  </xdr:oneCellAnchor>
  <xdr:twoCellAnchor>
    <xdr:from>
      <xdr:col>12</xdr:col>
      <xdr:colOff>361949</xdr:colOff>
      <xdr:row>22</xdr:row>
      <xdr:rowOff>76200</xdr:rowOff>
    </xdr:from>
    <xdr:to>
      <xdr:col>14</xdr:col>
      <xdr:colOff>423862</xdr:colOff>
      <xdr:row>27</xdr:row>
      <xdr:rowOff>119063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761357D-FE8C-493D-915F-6E4B185FC2E8}"/>
            </a:ext>
          </a:extLst>
        </xdr:cNvPr>
        <xdr:cNvSpPr txBox="1"/>
      </xdr:nvSpPr>
      <xdr:spPr>
        <a:xfrm>
          <a:off x="8134349" y="5105400"/>
          <a:ext cx="1357313" cy="118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Sub-Problem 3 </a:t>
          </a:r>
          <a:r>
            <a:rPr lang="en-CA" sz="1400" baseline="0"/>
            <a:t>Z=376</a:t>
          </a:r>
        </a:p>
        <a:p>
          <a:pPr algn="ctr"/>
          <a:r>
            <a:rPr lang="en-CA" sz="1400" baseline="0"/>
            <a:t>x=17</a:t>
          </a:r>
        </a:p>
        <a:p>
          <a:pPr algn="ctr"/>
          <a:r>
            <a:rPr lang="en-CA" sz="1400" baseline="0"/>
            <a:t>y=1</a:t>
          </a:r>
        </a:p>
        <a:p>
          <a:pPr algn="ctr"/>
          <a:r>
            <a:rPr lang="en-CA" sz="1400" baseline="0"/>
            <a:t>z=0.4</a:t>
          </a:r>
        </a:p>
      </xdr:txBody>
    </xdr:sp>
    <xdr:clientData/>
  </xdr:twoCellAnchor>
  <xdr:twoCellAnchor>
    <xdr:from>
      <xdr:col>15</xdr:col>
      <xdr:colOff>204788</xdr:colOff>
      <xdr:row>22</xdr:row>
      <xdr:rowOff>90488</xdr:rowOff>
    </xdr:from>
    <xdr:to>
      <xdr:col>17</xdr:col>
      <xdr:colOff>295275</xdr:colOff>
      <xdr:row>27</xdr:row>
      <xdr:rowOff>133351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FB99CB9-4C86-4A06-AA46-C3C7FEAE7A7D}"/>
            </a:ext>
          </a:extLst>
        </xdr:cNvPr>
        <xdr:cNvSpPr txBox="1"/>
      </xdr:nvSpPr>
      <xdr:spPr>
        <a:xfrm>
          <a:off x="9920288" y="5119688"/>
          <a:ext cx="1385887" cy="118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Sub-Problem 4</a:t>
          </a:r>
          <a:r>
            <a:rPr lang="en-CA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400" baseline="0"/>
            <a:t>Z=384.29</a:t>
          </a:r>
        </a:p>
        <a:p>
          <a:pPr algn="ctr"/>
          <a:r>
            <a:rPr lang="en-CA" sz="1400" baseline="0"/>
            <a:t>x=15.57</a:t>
          </a:r>
        </a:p>
        <a:p>
          <a:pPr algn="ctr"/>
          <a:r>
            <a:rPr lang="en-CA" sz="1400" baseline="0"/>
            <a:t>y=2</a:t>
          </a:r>
        </a:p>
        <a:p>
          <a:pPr algn="ctr"/>
          <a:r>
            <a:rPr lang="en-CA" sz="1400" baseline="0"/>
            <a:t>z=0.86</a:t>
          </a:r>
        </a:p>
      </xdr:txBody>
    </xdr:sp>
    <xdr:clientData/>
  </xdr:twoCellAnchor>
  <xdr:twoCellAnchor>
    <xdr:from>
      <xdr:col>15</xdr:col>
      <xdr:colOff>126206</xdr:colOff>
      <xdr:row>27</xdr:row>
      <xdr:rowOff>138113</xdr:rowOff>
    </xdr:from>
    <xdr:to>
      <xdr:col>16</xdr:col>
      <xdr:colOff>290512</xdr:colOff>
      <xdr:row>31</xdr:row>
      <xdr:rowOff>114300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6BE1762-20BC-488A-9564-E6252CABAA92}"/>
            </a:ext>
          </a:extLst>
        </xdr:cNvPr>
        <xdr:cNvCxnSpPr/>
      </xdr:nvCxnSpPr>
      <xdr:spPr>
        <a:xfrm flipH="1">
          <a:off x="9841706" y="6310313"/>
          <a:ext cx="812006" cy="890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290512</xdr:colOff>
      <xdr:row>27</xdr:row>
      <xdr:rowOff>138113</xdr:rowOff>
    </xdr:from>
    <xdr:to>
      <xdr:col>17</xdr:col>
      <xdr:colOff>440531</xdr:colOff>
      <xdr:row>31</xdr:row>
      <xdr:rowOff>119062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BA1CAB1-0C04-4F40-A3B6-6D058579DF9D}"/>
            </a:ext>
          </a:extLst>
        </xdr:cNvPr>
        <xdr:cNvCxnSpPr/>
      </xdr:nvCxnSpPr>
      <xdr:spPr>
        <a:xfrm>
          <a:off x="10653712" y="6310313"/>
          <a:ext cx="797719" cy="8953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347662</xdr:colOff>
      <xdr:row>28</xdr:row>
      <xdr:rowOff>180975</xdr:rowOff>
    </xdr:from>
    <xdr:ext cx="729687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F4B905C-96CE-4D6A-B957-54751AC3E079}"/>
                </a:ext>
              </a:extLst>
            </xdr:cNvPr>
            <xdr:cNvSpPr txBox="1"/>
          </xdr:nvSpPr>
          <xdr:spPr>
            <a:xfrm>
              <a:off x="9415462" y="6581775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≤15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F4B905C-96CE-4D6A-B957-54751AC3E079}"/>
                </a:ext>
              </a:extLst>
            </xdr:cNvPr>
            <xdr:cNvSpPr txBox="1"/>
          </xdr:nvSpPr>
          <xdr:spPr>
            <a:xfrm>
              <a:off x="9415462" y="6581775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𝑥≤15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17</xdr:col>
      <xdr:colOff>209550</xdr:colOff>
      <xdr:row>28</xdr:row>
      <xdr:rowOff>214312</xdr:rowOff>
    </xdr:from>
    <xdr:ext cx="729687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5550B4-7C6B-4CFB-B631-44BF3358062E}"/>
                </a:ext>
              </a:extLst>
            </xdr:cNvPr>
            <xdr:cNvSpPr txBox="1"/>
          </xdr:nvSpPr>
          <xdr:spPr>
            <a:xfrm>
              <a:off x="11220450" y="6615112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≥16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5550B4-7C6B-4CFB-B631-44BF3358062E}"/>
                </a:ext>
              </a:extLst>
            </xdr:cNvPr>
            <xdr:cNvSpPr txBox="1"/>
          </xdr:nvSpPr>
          <xdr:spPr>
            <a:xfrm>
              <a:off x="11220450" y="6615112"/>
              <a:ext cx="729687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𝑥≥16</a:t>
              </a:r>
              <a:endParaRPr lang="en-CA" sz="1800"/>
            </a:p>
          </xdr:txBody>
        </xdr:sp>
      </mc:Fallback>
    </mc:AlternateContent>
    <xdr:clientData/>
  </xdr:oneCellAnchor>
  <xdr:twoCellAnchor>
    <xdr:from>
      <xdr:col>14</xdr:col>
      <xdr:colOff>214312</xdr:colOff>
      <xdr:row>31</xdr:row>
      <xdr:rowOff>114301</xdr:rowOff>
    </xdr:from>
    <xdr:to>
      <xdr:col>16</xdr:col>
      <xdr:colOff>247649</xdr:colOff>
      <xdr:row>36</xdr:row>
      <xdr:rowOff>157164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786BA98-DF55-4211-8DCD-60621B4F1A50}"/>
            </a:ext>
          </a:extLst>
        </xdr:cNvPr>
        <xdr:cNvSpPr txBox="1"/>
      </xdr:nvSpPr>
      <xdr:spPr>
        <a:xfrm>
          <a:off x="9282112" y="7200901"/>
          <a:ext cx="1328737" cy="118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Sub-Problem 5 </a:t>
          </a:r>
          <a:r>
            <a:rPr lang="en-CA" sz="1400" baseline="0"/>
            <a:t>Z=383.33</a:t>
          </a:r>
        </a:p>
        <a:p>
          <a:pPr algn="ctr"/>
          <a:r>
            <a:rPr lang="en-CA" sz="1400" baseline="0"/>
            <a:t>x=15</a:t>
          </a:r>
        </a:p>
        <a:p>
          <a:pPr algn="ctr"/>
          <a:r>
            <a:rPr lang="en-CA" sz="1400" baseline="0"/>
            <a:t>y=2.22</a:t>
          </a:r>
        </a:p>
        <a:p>
          <a:pPr algn="ctr"/>
          <a:r>
            <a:rPr lang="en-CA" sz="1400" baseline="0"/>
            <a:t>z=1.11</a:t>
          </a:r>
        </a:p>
      </xdr:txBody>
    </xdr:sp>
    <xdr:clientData/>
  </xdr:twoCellAnchor>
  <xdr:twoCellAnchor>
    <xdr:from>
      <xdr:col>16</xdr:col>
      <xdr:colOff>557211</xdr:colOff>
      <xdr:row>31</xdr:row>
      <xdr:rowOff>119062</xdr:rowOff>
    </xdr:from>
    <xdr:to>
      <xdr:col>20</xdr:col>
      <xdr:colOff>214313</xdr:colOff>
      <xdr:row>37</xdr:row>
      <xdr:rowOff>204787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3DD3A8-6736-4434-9BB0-3F21B274CE1E}"/>
            </a:ext>
          </a:extLst>
        </xdr:cNvPr>
        <xdr:cNvSpPr txBox="1"/>
      </xdr:nvSpPr>
      <xdr:spPr>
        <a:xfrm>
          <a:off x="10920411" y="7205662"/>
          <a:ext cx="2247902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Sub-Problem 6 </a:t>
          </a:r>
        </a:p>
        <a:p>
          <a:pPr algn="ctr"/>
          <a:r>
            <a:rPr lang="en-CA" sz="1400" baseline="0"/>
            <a:t>Z=380</a:t>
          </a:r>
        </a:p>
        <a:p>
          <a:pPr algn="ctr"/>
          <a:r>
            <a:rPr lang="en-CA" sz="1400" baseline="0"/>
            <a:t>x=16</a:t>
          </a:r>
        </a:p>
        <a:p>
          <a:pPr algn="ctr"/>
          <a:r>
            <a:rPr lang="en-CA" sz="1400" baseline="0"/>
            <a:t>y=2</a:t>
          </a:r>
        </a:p>
        <a:p>
          <a:pPr algn="ctr"/>
          <a:r>
            <a:rPr lang="en-CA" sz="1400" baseline="0"/>
            <a:t>z=0</a:t>
          </a:r>
        </a:p>
        <a:p>
          <a:pPr algn="ctr"/>
          <a:r>
            <a:rPr lang="en-CA" sz="1400" baseline="0"/>
            <a:t>Feasible: eliminate SP2, SP3</a:t>
          </a:r>
        </a:p>
      </xdr:txBody>
    </xdr:sp>
    <xdr:clientData/>
  </xdr:twoCellAnchor>
  <xdr:twoCellAnchor>
    <xdr:from>
      <xdr:col>16</xdr:col>
      <xdr:colOff>514350</xdr:colOff>
      <xdr:row>13</xdr:row>
      <xdr:rowOff>28575</xdr:rowOff>
    </xdr:from>
    <xdr:to>
      <xdr:col>19</xdr:col>
      <xdr:colOff>185738</xdr:colOff>
      <xdr:row>18</xdr:row>
      <xdr:rowOff>123825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7236501-1865-612C-7F0A-C905088BC8AC}"/>
            </a:ext>
          </a:extLst>
        </xdr:cNvPr>
        <xdr:cNvCxnSpPr/>
      </xdr:nvCxnSpPr>
      <xdr:spPr>
        <a:xfrm>
          <a:off x="10877550" y="3000375"/>
          <a:ext cx="1614488" cy="123825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166688</xdr:colOff>
      <xdr:row>22</xdr:row>
      <xdr:rowOff>100012</xdr:rowOff>
    </xdr:from>
    <xdr:to>
      <xdr:col>14</xdr:col>
      <xdr:colOff>485776</xdr:colOff>
      <xdr:row>27</xdr:row>
      <xdr:rowOff>195262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5B63E2C8-125D-49C8-B6E8-01D2B671E591}"/>
            </a:ext>
          </a:extLst>
        </xdr:cNvPr>
        <xdr:cNvCxnSpPr/>
      </xdr:nvCxnSpPr>
      <xdr:spPr>
        <a:xfrm>
          <a:off x="7939088" y="5129212"/>
          <a:ext cx="1614488" cy="123825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52388</xdr:colOff>
      <xdr:row>36</xdr:row>
      <xdr:rowOff>147638</xdr:rowOff>
    </xdr:from>
    <xdr:to>
      <xdr:col>15</xdr:col>
      <xdr:colOff>216694</xdr:colOff>
      <xdr:row>40</xdr:row>
      <xdr:rowOff>123825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2B86993E-366B-489A-9744-3523CAF7BFDA}"/>
            </a:ext>
          </a:extLst>
        </xdr:cNvPr>
        <xdr:cNvCxnSpPr/>
      </xdr:nvCxnSpPr>
      <xdr:spPr>
        <a:xfrm flipH="1">
          <a:off x="9120188" y="8377238"/>
          <a:ext cx="812006" cy="890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240507</xdr:colOff>
      <xdr:row>36</xdr:row>
      <xdr:rowOff>166688</xdr:rowOff>
    </xdr:from>
    <xdr:to>
      <xdr:col>16</xdr:col>
      <xdr:colOff>390526</xdr:colOff>
      <xdr:row>40</xdr:row>
      <xdr:rowOff>147637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78D7867-EA5F-4112-8FEE-B54AF3686748}"/>
            </a:ext>
          </a:extLst>
        </xdr:cNvPr>
        <xdr:cNvCxnSpPr/>
      </xdr:nvCxnSpPr>
      <xdr:spPr>
        <a:xfrm>
          <a:off x="9956007" y="8396288"/>
          <a:ext cx="797719" cy="8953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207169</xdr:colOff>
      <xdr:row>37</xdr:row>
      <xdr:rowOff>195262</xdr:rowOff>
    </xdr:from>
    <xdr:ext cx="60516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CD157F2-DFE7-4FA9-8FD5-F0149038FDC3}"/>
                </a:ext>
              </a:extLst>
            </xdr:cNvPr>
            <xdr:cNvSpPr txBox="1"/>
          </xdr:nvSpPr>
          <xdr:spPr>
            <a:xfrm>
              <a:off x="8627269" y="8653462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≤2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CD157F2-DFE7-4FA9-8FD5-F0149038FDC3}"/>
                </a:ext>
              </a:extLst>
            </xdr:cNvPr>
            <xdr:cNvSpPr txBox="1"/>
          </xdr:nvSpPr>
          <xdr:spPr>
            <a:xfrm>
              <a:off x="8627269" y="8653462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𝑦≤2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16</xdr:col>
      <xdr:colOff>197644</xdr:colOff>
      <xdr:row>38</xdr:row>
      <xdr:rowOff>23812</xdr:rowOff>
    </xdr:from>
    <xdr:ext cx="60516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50A82EB-848D-4921-A66C-5B9589C78405}"/>
                </a:ext>
              </a:extLst>
            </xdr:cNvPr>
            <xdr:cNvSpPr txBox="1"/>
          </xdr:nvSpPr>
          <xdr:spPr>
            <a:xfrm>
              <a:off x="10560844" y="8710612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≥3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250A82EB-848D-4921-A66C-5B9589C78405}"/>
                </a:ext>
              </a:extLst>
            </xdr:cNvPr>
            <xdr:cNvSpPr txBox="1"/>
          </xdr:nvSpPr>
          <xdr:spPr>
            <a:xfrm>
              <a:off x="10560844" y="8710612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CA" sz="1800" b="0" i="0">
                  <a:latin typeface="Cambria Math" panose="02040503050406030204" pitchFamily="18" charset="0"/>
                </a:rPr>
                <a:t>𝑦≥3</a:t>
              </a:r>
              <a:endParaRPr lang="en-CA" sz="1800"/>
            </a:p>
          </xdr:txBody>
        </xdr:sp>
      </mc:Fallback>
    </mc:AlternateContent>
    <xdr:clientData/>
  </xdr:oneCellAnchor>
  <xdr:twoCellAnchor>
    <xdr:from>
      <xdr:col>13</xdr:col>
      <xdr:colOff>42862</xdr:colOff>
      <xdr:row>40</xdr:row>
      <xdr:rowOff>114301</xdr:rowOff>
    </xdr:from>
    <xdr:to>
      <xdr:col>15</xdr:col>
      <xdr:colOff>14287</xdr:colOff>
      <xdr:row>45</xdr:row>
      <xdr:rowOff>157164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FC7CAD3-7D30-4A8E-AC89-C9909D1BA676}"/>
            </a:ext>
          </a:extLst>
        </xdr:cNvPr>
        <xdr:cNvSpPr txBox="1"/>
      </xdr:nvSpPr>
      <xdr:spPr>
        <a:xfrm>
          <a:off x="8462962" y="9258301"/>
          <a:ext cx="1266825" cy="11858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Sub-Problem 7 </a:t>
          </a:r>
          <a:r>
            <a:rPr lang="en-CA" sz="1400" baseline="0"/>
            <a:t>Z=378</a:t>
          </a:r>
        </a:p>
        <a:p>
          <a:pPr algn="ctr"/>
          <a:r>
            <a:rPr lang="en-CA" sz="1400" baseline="0"/>
            <a:t>x=15</a:t>
          </a:r>
        </a:p>
        <a:p>
          <a:pPr algn="ctr"/>
          <a:r>
            <a:rPr lang="en-CA" sz="1400" baseline="0"/>
            <a:t>y=2</a:t>
          </a:r>
        </a:p>
        <a:p>
          <a:pPr algn="ctr"/>
          <a:r>
            <a:rPr lang="en-CA" sz="1400" baseline="0"/>
            <a:t>z=1.2</a:t>
          </a:r>
        </a:p>
      </xdr:txBody>
    </xdr:sp>
    <xdr:clientData/>
  </xdr:twoCellAnchor>
  <xdr:twoCellAnchor>
    <xdr:from>
      <xdr:col>12</xdr:col>
      <xdr:colOff>447675</xdr:colOff>
      <xdr:row>39</xdr:row>
      <xdr:rowOff>157162</xdr:rowOff>
    </xdr:from>
    <xdr:to>
      <xdr:col>15</xdr:col>
      <xdr:colOff>119063</xdr:colOff>
      <xdr:row>45</xdr:row>
      <xdr:rowOff>23812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5E12114-B510-4CA0-9D69-E19421A0D5EB}"/>
            </a:ext>
          </a:extLst>
        </xdr:cNvPr>
        <xdr:cNvCxnSpPr/>
      </xdr:nvCxnSpPr>
      <xdr:spPr>
        <a:xfrm>
          <a:off x="8220075" y="9072562"/>
          <a:ext cx="1614488" cy="1238250"/>
        </a:xfrm>
        <a:prstGeom prst="line">
          <a:avLst/>
        </a:prstGeom>
        <a:ln w="508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380998</xdr:colOff>
      <xdr:row>40</xdr:row>
      <xdr:rowOff>157164</xdr:rowOff>
    </xdr:from>
    <xdr:to>
      <xdr:col>18</xdr:col>
      <xdr:colOff>71437</xdr:colOff>
      <xdr:row>47</xdr:row>
      <xdr:rowOff>14288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534100E-705A-4672-AF0A-A9E8E0E00F08}"/>
            </a:ext>
          </a:extLst>
        </xdr:cNvPr>
        <xdr:cNvSpPr txBox="1"/>
      </xdr:nvSpPr>
      <xdr:spPr>
        <a:xfrm>
          <a:off x="10096498" y="9301164"/>
          <a:ext cx="1633539" cy="1457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CA" sz="14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Sub-Problem 8 </a:t>
          </a:r>
          <a:r>
            <a:rPr lang="en-CA" sz="1400" baseline="0"/>
            <a:t>Z=380</a:t>
          </a:r>
        </a:p>
        <a:p>
          <a:pPr algn="ctr"/>
          <a:r>
            <a:rPr lang="en-CA" sz="1400" baseline="0"/>
            <a:t>x=13</a:t>
          </a:r>
        </a:p>
        <a:p>
          <a:pPr algn="ctr"/>
          <a:r>
            <a:rPr lang="en-CA" sz="1400" baseline="0"/>
            <a:t>y=3</a:t>
          </a:r>
        </a:p>
        <a:p>
          <a:pPr algn="ctr"/>
          <a:r>
            <a:rPr lang="en-CA" sz="1400" baseline="0"/>
            <a:t>z=2</a:t>
          </a:r>
        </a:p>
        <a:p>
          <a:pPr algn="ctr"/>
          <a:r>
            <a:rPr lang="en-CA" sz="1400" baseline="0"/>
            <a:t>OPTIMAL, so is SP6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2</xdr:row>
      <xdr:rowOff>138112</xdr:rowOff>
    </xdr:from>
    <xdr:ext cx="1421991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87BF0B2-A644-4619-8EE0-D051C288484C}"/>
                </a:ext>
              </a:extLst>
            </xdr:cNvPr>
            <xdr:cNvSpPr txBox="1"/>
          </xdr:nvSpPr>
          <xdr:spPr>
            <a:xfrm>
              <a:off x="600075" y="500062"/>
              <a:ext cx="1421991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=5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87BF0B2-A644-4619-8EE0-D051C288484C}"/>
                </a:ext>
              </a:extLst>
            </xdr:cNvPr>
            <xdr:cNvSpPr txBox="1"/>
          </xdr:nvSpPr>
          <xdr:spPr>
            <a:xfrm>
              <a:off x="600075" y="500062"/>
              <a:ext cx="1421991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𝑍=5𝑥+2𝑦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0</xdr:col>
      <xdr:colOff>614362</xdr:colOff>
      <xdr:row>6</xdr:row>
      <xdr:rowOff>128589</xdr:rowOff>
    </xdr:from>
    <xdr:ext cx="1548373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0F482E8-C897-43B5-8C9D-A41A9C5555FE}"/>
                </a:ext>
              </a:extLst>
            </xdr:cNvPr>
            <xdr:cNvSpPr txBox="1"/>
          </xdr:nvSpPr>
          <xdr:spPr>
            <a:xfrm>
              <a:off x="614362" y="1214439"/>
              <a:ext cx="1548373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≤17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0F482E8-C897-43B5-8C9D-A41A9C5555FE}"/>
                </a:ext>
              </a:extLst>
            </xdr:cNvPr>
            <xdr:cNvSpPr txBox="1"/>
          </xdr:nvSpPr>
          <xdr:spPr>
            <a:xfrm>
              <a:off x="614362" y="1214439"/>
              <a:ext cx="1548373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2𝑥+3𝑦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≤17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0</xdr:col>
      <xdr:colOff>628650</xdr:colOff>
      <xdr:row>10</xdr:row>
      <xdr:rowOff>90489</xdr:rowOff>
    </xdr:from>
    <xdr:ext cx="1690398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CC181DE-0C6F-47AA-B052-B02EB7F1822B}"/>
                </a:ext>
              </a:extLst>
            </xdr:cNvPr>
            <xdr:cNvSpPr txBox="1"/>
          </xdr:nvSpPr>
          <xdr:spPr>
            <a:xfrm>
              <a:off x="628650" y="1900239"/>
              <a:ext cx="169039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10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≤45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CC181DE-0C6F-47AA-B052-B02EB7F1822B}"/>
                </a:ext>
              </a:extLst>
            </xdr:cNvPr>
            <xdr:cNvSpPr txBox="1"/>
          </xdr:nvSpPr>
          <xdr:spPr>
            <a:xfrm>
              <a:off x="628650" y="1900239"/>
              <a:ext cx="169039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10𝑥+3𝑦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≤45</a:t>
              </a:r>
              <a:endParaRPr lang="en-CA" sz="2000"/>
            </a:p>
          </xdr:txBody>
        </xdr:sp>
      </mc:Fallback>
    </mc:AlternateContent>
    <xdr:clientData/>
  </xdr:oneCellAnchor>
  <xdr:twoCellAnchor>
    <xdr:from>
      <xdr:col>12</xdr:col>
      <xdr:colOff>383380</xdr:colOff>
      <xdr:row>5</xdr:row>
      <xdr:rowOff>66674</xdr:rowOff>
    </xdr:from>
    <xdr:to>
      <xdr:col>19</xdr:col>
      <xdr:colOff>421480</xdr:colOff>
      <xdr:row>20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8E9E80-3816-4D8D-960C-3D493BC72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633414</xdr:colOff>
      <xdr:row>15</xdr:row>
      <xdr:rowOff>176213</xdr:rowOff>
    </xdr:from>
    <xdr:to>
      <xdr:col>16</xdr:col>
      <xdr:colOff>228600</xdr:colOff>
      <xdr:row>17</xdr:row>
      <xdr:rowOff>176214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08D09D6-EFD9-1FD0-EC6C-2DA02E407D61}"/>
            </a:ext>
          </a:extLst>
        </xdr:cNvPr>
        <xdr:cNvSpPr/>
      </xdr:nvSpPr>
      <xdr:spPr>
        <a:xfrm>
          <a:off x="9410702" y="3605213"/>
          <a:ext cx="2185986" cy="457201"/>
        </a:xfrm>
        <a:prstGeom prst="rect">
          <a:avLst/>
        </a:prstGeom>
        <a:noFill/>
        <a:ln w="25400"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0.77969</cdr:x>
      <cdr:y>0.38154</cdr:y>
    </cdr:from>
    <cdr:to>
      <cdr:x>0.80052</cdr:x>
      <cdr:y>0.418</cdr:y>
    </cdr:to>
    <cdr:sp macro="" textlink="">
      <cdr:nvSpPr>
        <cdr:cNvPr id="2" name="Star: 5 Points 1">
          <a:extLst xmlns:a="http://schemas.openxmlformats.org/drawingml/2006/main">
            <a:ext uri="{FF2B5EF4-FFF2-40B4-BE49-F238E27FC236}">
              <a16:creationId xmlns:a16="http://schemas.microsoft.com/office/drawing/2014/main" id="{7548C79C-FC4D-64B2-AED4-338F5DFBF76D}"/>
            </a:ext>
          </a:extLst>
        </cdr:cNvPr>
        <cdr:cNvSpPr/>
      </cdr:nvSpPr>
      <cdr:spPr>
        <a:xfrm xmlns:a="http://schemas.openxmlformats.org/drawingml/2006/main">
          <a:off x="3564727" y="1319205"/>
          <a:ext cx="95235" cy="126063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CA" kern="1200"/>
        </a:p>
      </cdr:txBody>
    </cdr:sp>
  </cdr:relSizeAnchor>
  <cdr:relSizeAnchor xmlns:cdr="http://schemas.openxmlformats.org/drawingml/2006/chartDrawing">
    <cdr:from>
      <cdr:x>0.68299</cdr:x>
      <cdr:y>0.32624</cdr:y>
    </cdr:from>
    <cdr:to>
      <cdr:x>0.70382</cdr:x>
      <cdr:y>0.3627</cdr:y>
    </cdr:to>
    <cdr:sp macro="" textlink="">
      <cdr:nvSpPr>
        <cdr:cNvPr id="3" name="Star: 5 Points 2">
          <a:extLst xmlns:a="http://schemas.openxmlformats.org/drawingml/2006/main">
            <a:ext uri="{FF2B5EF4-FFF2-40B4-BE49-F238E27FC236}">
              <a16:creationId xmlns:a16="http://schemas.microsoft.com/office/drawing/2014/main" id="{EC252CCF-5DD6-EEE2-3B66-90733B823D38}"/>
            </a:ext>
          </a:extLst>
        </cdr:cNvPr>
        <cdr:cNvSpPr/>
      </cdr:nvSpPr>
      <cdr:spPr>
        <a:xfrm xmlns:a="http://schemas.openxmlformats.org/drawingml/2006/main">
          <a:off x="3122630" y="1128012"/>
          <a:ext cx="95235" cy="126064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CA" kern="1200"/>
        </a:p>
      </cdr:txBody>
    </cdr:sp>
  </cdr:relSizeAnchor>
  <cdr:relSizeAnchor xmlns:cdr="http://schemas.openxmlformats.org/drawingml/2006/chartDrawing">
    <cdr:from>
      <cdr:x>0.70799</cdr:x>
      <cdr:y>0.25717</cdr:y>
    </cdr:from>
    <cdr:to>
      <cdr:x>0.72882</cdr:x>
      <cdr:y>0.29363</cdr:y>
    </cdr:to>
    <cdr:sp macro="" textlink="">
      <cdr:nvSpPr>
        <cdr:cNvPr id="4" name="Star: 5 Points 3">
          <a:extLst xmlns:a="http://schemas.openxmlformats.org/drawingml/2006/main">
            <a:ext uri="{FF2B5EF4-FFF2-40B4-BE49-F238E27FC236}">
              <a16:creationId xmlns:a16="http://schemas.microsoft.com/office/drawing/2014/main" id="{3A9B5A79-1296-1677-950B-BE90637F04FA}"/>
            </a:ext>
          </a:extLst>
        </cdr:cNvPr>
        <cdr:cNvSpPr/>
      </cdr:nvSpPr>
      <cdr:spPr>
        <a:xfrm xmlns:a="http://schemas.openxmlformats.org/drawingml/2006/main">
          <a:off x="3236915" y="889189"/>
          <a:ext cx="95235" cy="126063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CA" kern="1200"/>
        </a:p>
      </cdr:txBody>
    </cdr:sp>
  </cdr:relSizeAnchor>
  <cdr:relSizeAnchor xmlns:cdr="http://schemas.openxmlformats.org/drawingml/2006/chartDrawing">
    <cdr:from>
      <cdr:x>0.77882</cdr:x>
      <cdr:y>0.22775</cdr:y>
    </cdr:from>
    <cdr:to>
      <cdr:x>0.79966</cdr:x>
      <cdr:y>0.2642</cdr:y>
    </cdr:to>
    <cdr:sp macro="" textlink="">
      <cdr:nvSpPr>
        <cdr:cNvPr id="5" name="Star: 5 Points 4">
          <a:extLst xmlns:a="http://schemas.openxmlformats.org/drawingml/2006/main">
            <a:ext uri="{FF2B5EF4-FFF2-40B4-BE49-F238E27FC236}">
              <a16:creationId xmlns:a16="http://schemas.microsoft.com/office/drawing/2014/main" id="{9F83E61D-CFBA-5BB2-0CAF-152165626954}"/>
            </a:ext>
          </a:extLst>
        </cdr:cNvPr>
        <cdr:cNvSpPr/>
      </cdr:nvSpPr>
      <cdr:spPr>
        <a:xfrm xmlns:a="http://schemas.openxmlformats.org/drawingml/2006/main">
          <a:off x="3560750" y="787446"/>
          <a:ext cx="95280" cy="126029"/>
        </a:xfrm>
        <a:prstGeom xmlns:a="http://schemas.openxmlformats.org/drawingml/2006/main" prst="star5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CA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2</xdr:row>
      <xdr:rowOff>138112</xdr:rowOff>
    </xdr:from>
    <xdr:ext cx="1421991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D026234-8861-4A56-9268-4803E93431B1}"/>
                </a:ext>
              </a:extLst>
            </xdr:cNvPr>
            <xdr:cNvSpPr txBox="1"/>
          </xdr:nvSpPr>
          <xdr:spPr>
            <a:xfrm>
              <a:off x="600075" y="595312"/>
              <a:ext cx="1421991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=5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D026234-8861-4A56-9268-4803E93431B1}"/>
                </a:ext>
              </a:extLst>
            </xdr:cNvPr>
            <xdr:cNvSpPr txBox="1"/>
          </xdr:nvSpPr>
          <xdr:spPr>
            <a:xfrm>
              <a:off x="600075" y="595312"/>
              <a:ext cx="1421991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𝑍=5𝑥+2𝑦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0</xdr:col>
      <xdr:colOff>614362</xdr:colOff>
      <xdr:row>6</xdr:row>
      <xdr:rowOff>128589</xdr:rowOff>
    </xdr:from>
    <xdr:ext cx="1548373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A2C118-F16F-4EDD-BF43-676931B9DD87}"/>
                </a:ext>
              </a:extLst>
            </xdr:cNvPr>
            <xdr:cNvSpPr txBox="1"/>
          </xdr:nvSpPr>
          <xdr:spPr>
            <a:xfrm>
              <a:off x="614362" y="1500189"/>
              <a:ext cx="1548373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2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≤17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A2C118-F16F-4EDD-BF43-676931B9DD87}"/>
                </a:ext>
              </a:extLst>
            </xdr:cNvPr>
            <xdr:cNvSpPr txBox="1"/>
          </xdr:nvSpPr>
          <xdr:spPr>
            <a:xfrm>
              <a:off x="614362" y="1500189"/>
              <a:ext cx="1548373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2𝑥+3𝑦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≤17</a:t>
              </a:r>
              <a:endParaRPr lang="en-CA" sz="2000"/>
            </a:p>
          </xdr:txBody>
        </xdr:sp>
      </mc:Fallback>
    </mc:AlternateContent>
    <xdr:clientData/>
  </xdr:oneCellAnchor>
  <xdr:oneCellAnchor>
    <xdr:from>
      <xdr:col>0</xdr:col>
      <xdr:colOff>628650</xdr:colOff>
      <xdr:row>10</xdr:row>
      <xdr:rowOff>90489</xdr:rowOff>
    </xdr:from>
    <xdr:ext cx="1690398" cy="315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B69C926-DB6C-4973-871E-C6CFD564A997}"/>
                </a:ext>
              </a:extLst>
            </xdr:cNvPr>
            <xdr:cNvSpPr txBox="1"/>
          </xdr:nvSpPr>
          <xdr:spPr>
            <a:xfrm>
              <a:off x="628650" y="2376489"/>
              <a:ext cx="169039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2000" b="0" i="1">
                        <a:latin typeface="Cambria Math" panose="02040503050406030204" pitchFamily="18" charset="0"/>
                      </a:rPr>
                      <m:t>10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+3</m:t>
                    </m:r>
                    <m:r>
                      <a:rPr lang="en-CA" sz="20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≤45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B69C926-DB6C-4973-871E-C6CFD564A997}"/>
                </a:ext>
              </a:extLst>
            </xdr:cNvPr>
            <xdr:cNvSpPr txBox="1"/>
          </xdr:nvSpPr>
          <xdr:spPr>
            <a:xfrm>
              <a:off x="628650" y="2376489"/>
              <a:ext cx="1690398" cy="315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2000" b="0" i="0">
                  <a:latin typeface="Cambria Math" panose="02040503050406030204" pitchFamily="18" charset="0"/>
                </a:rPr>
                <a:t>10𝑥+3𝑦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≤45</a:t>
              </a:r>
              <a:endParaRPr lang="en-CA" sz="2000"/>
            </a:p>
          </xdr:txBody>
        </xdr:sp>
      </mc:Fallback>
    </mc:AlternateContent>
    <xdr:clientData/>
  </xdr:oneCellAnchor>
  <xdr:twoCellAnchor>
    <xdr:from>
      <xdr:col>13</xdr:col>
      <xdr:colOff>130967</xdr:colOff>
      <xdr:row>4</xdr:row>
      <xdr:rowOff>171450</xdr:rowOff>
    </xdr:from>
    <xdr:to>
      <xdr:col>20</xdr:col>
      <xdr:colOff>169067</xdr:colOff>
      <xdr:row>19</xdr:row>
      <xdr:rowOff>200025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219FA1-DC6A-436D-8EF4-14F7C72FB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1009649</xdr:colOff>
      <xdr:row>23</xdr:row>
      <xdr:rowOff>223838</xdr:rowOff>
    </xdr:from>
    <xdr:to>
      <xdr:col>10</xdr:col>
      <xdr:colOff>357187</xdr:colOff>
      <xdr:row>28</xdr:row>
      <xdr:rowOff>123825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A62E7F-60CC-4CD0-8AAB-7952611B5854}"/>
            </a:ext>
          </a:extLst>
        </xdr:cNvPr>
        <xdr:cNvSpPr txBox="1"/>
      </xdr:nvSpPr>
      <xdr:spPr>
        <a:xfrm>
          <a:off x="6605587" y="5481638"/>
          <a:ext cx="1233488" cy="1042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Orig Problem</a:t>
          </a:r>
        </a:p>
        <a:p>
          <a:pPr algn="ctr"/>
          <a:r>
            <a:rPr lang="en-CA" sz="1400" baseline="0"/>
            <a:t>Z=24.17</a:t>
          </a:r>
        </a:p>
        <a:p>
          <a:pPr algn="ctr"/>
          <a:r>
            <a:rPr lang="en-CA" sz="1400" baseline="0"/>
            <a:t>x=3.5</a:t>
          </a:r>
        </a:p>
        <a:p>
          <a:pPr algn="ctr"/>
          <a:r>
            <a:rPr lang="en-CA" sz="1400" baseline="0"/>
            <a:t>y=3.3</a:t>
          </a:r>
        </a:p>
      </xdr:txBody>
    </xdr:sp>
    <xdr:clientData/>
  </xdr:twoCellAnchor>
  <xdr:twoCellAnchor>
    <xdr:from>
      <xdr:col>8</xdr:col>
      <xdr:colOff>792957</xdr:colOff>
      <xdr:row>28</xdr:row>
      <xdr:rowOff>128588</xdr:rowOff>
    </xdr:from>
    <xdr:to>
      <xdr:col>9</xdr:col>
      <xdr:colOff>490538</xdr:colOff>
      <xdr:row>32</xdr:row>
      <xdr:rowOff>104775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2BF227B-DFB2-4687-BD60-449F846B3FCA}"/>
            </a:ext>
          </a:extLst>
        </xdr:cNvPr>
        <xdr:cNvCxnSpPr/>
      </xdr:nvCxnSpPr>
      <xdr:spPr>
        <a:xfrm flipH="1">
          <a:off x="6388895" y="6529388"/>
          <a:ext cx="812006" cy="890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490538</xdr:colOff>
      <xdr:row>28</xdr:row>
      <xdr:rowOff>128588</xdr:rowOff>
    </xdr:from>
    <xdr:to>
      <xdr:col>10</xdr:col>
      <xdr:colOff>516732</xdr:colOff>
      <xdr:row>32</xdr:row>
      <xdr:rowOff>109537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263C4AB-9A36-4AE8-B424-9DF94A0DD9C3}"/>
            </a:ext>
          </a:extLst>
        </xdr:cNvPr>
        <xdr:cNvCxnSpPr/>
      </xdr:nvCxnSpPr>
      <xdr:spPr>
        <a:xfrm>
          <a:off x="7200901" y="6529388"/>
          <a:ext cx="797719" cy="8953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366713</xdr:colOff>
      <xdr:row>29</xdr:row>
      <xdr:rowOff>171450</xdr:rowOff>
    </xdr:from>
    <xdr:ext cx="60189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C6FFB6-0C4F-498C-B2DB-29B17FB93C3A}"/>
                </a:ext>
              </a:extLst>
            </xdr:cNvPr>
            <xdr:cNvSpPr txBox="1"/>
          </xdr:nvSpPr>
          <xdr:spPr>
            <a:xfrm>
              <a:off x="5962651" y="6800850"/>
              <a:ext cx="60189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≤3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52C6FFB6-0C4F-498C-B2DB-29B17FB93C3A}"/>
                </a:ext>
              </a:extLst>
            </xdr:cNvPr>
            <xdr:cNvSpPr txBox="1"/>
          </xdr:nvSpPr>
          <xdr:spPr>
            <a:xfrm>
              <a:off x="5962651" y="6800850"/>
              <a:ext cx="60189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800" b="0" i="0">
                  <a:latin typeface="Cambria Math" panose="02040503050406030204" pitchFamily="18" charset="0"/>
                </a:rPr>
                <a:t>𝑥≤3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10</xdr:col>
      <xdr:colOff>285751</xdr:colOff>
      <xdr:row>29</xdr:row>
      <xdr:rowOff>204787</xdr:rowOff>
    </xdr:from>
    <xdr:ext cx="60189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B1DA522-B70D-4493-9381-760041EFEFD1}"/>
                </a:ext>
              </a:extLst>
            </xdr:cNvPr>
            <xdr:cNvSpPr txBox="1"/>
          </xdr:nvSpPr>
          <xdr:spPr>
            <a:xfrm>
              <a:off x="7767639" y="6834187"/>
              <a:ext cx="60189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≥4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B1DA522-B70D-4493-9381-760041EFEFD1}"/>
                </a:ext>
              </a:extLst>
            </xdr:cNvPr>
            <xdr:cNvSpPr txBox="1"/>
          </xdr:nvSpPr>
          <xdr:spPr>
            <a:xfrm>
              <a:off x="7767639" y="6834187"/>
              <a:ext cx="60189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800" b="0" i="0">
                  <a:latin typeface="Cambria Math" panose="02040503050406030204" pitchFamily="18" charset="0"/>
                </a:rPr>
                <a:t>𝑥≥4</a:t>
              </a:r>
              <a:endParaRPr lang="en-CA" sz="1800"/>
            </a:p>
          </xdr:txBody>
        </xdr:sp>
      </mc:Fallback>
    </mc:AlternateContent>
    <xdr:clientData/>
  </xdr:oneCellAnchor>
  <xdr:twoCellAnchor>
    <xdr:from>
      <xdr:col>8</xdr:col>
      <xdr:colOff>157162</xdr:colOff>
      <xdr:row>32</xdr:row>
      <xdr:rowOff>104776</xdr:rowOff>
    </xdr:from>
    <xdr:to>
      <xdr:col>9</xdr:col>
      <xdr:colOff>276225</xdr:colOff>
      <xdr:row>37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33F1A3-387A-457C-BDB2-C7CB857759F2}"/>
            </a:ext>
          </a:extLst>
        </xdr:cNvPr>
        <xdr:cNvSpPr txBox="1"/>
      </xdr:nvSpPr>
      <xdr:spPr>
        <a:xfrm>
          <a:off x="5753100" y="7419976"/>
          <a:ext cx="1233488" cy="1200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Sub Problem 1</a:t>
          </a:r>
        </a:p>
        <a:p>
          <a:pPr algn="ctr"/>
          <a:r>
            <a:rPr lang="en-CA" sz="1400" baseline="0"/>
            <a:t>Z=22.3</a:t>
          </a:r>
        </a:p>
        <a:p>
          <a:pPr algn="ctr"/>
          <a:r>
            <a:rPr lang="en-CA" sz="1400" baseline="0"/>
            <a:t>x=3</a:t>
          </a:r>
        </a:p>
        <a:p>
          <a:pPr algn="ctr"/>
          <a:r>
            <a:rPr lang="en-CA" sz="1400" baseline="0"/>
            <a:t>y=3.67</a:t>
          </a:r>
        </a:p>
        <a:p>
          <a:pPr algn="ctr"/>
          <a:r>
            <a:rPr lang="en-CA" sz="1400" baseline="0"/>
            <a:t>UB = 21</a:t>
          </a:r>
        </a:p>
      </xdr:txBody>
    </xdr:sp>
    <xdr:clientData/>
  </xdr:twoCellAnchor>
  <xdr:twoCellAnchor>
    <xdr:from>
      <xdr:col>10</xdr:col>
      <xdr:colOff>38099</xdr:colOff>
      <xdr:row>32</xdr:row>
      <xdr:rowOff>104776</xdr:rowOff>
    </xdr:from>
    <xdr:to>
      <xdr:col>11</xdr:col>
      <xdr:colOff>623887</xdr:colOff>
      <xdr:row>37</xdr:row>
      <xdr:rowOff>4763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310EE99-DFC3-48BF-AE92-3E23A5B60E26}"/>
            </a:ext>
          </a:extLst>
        </xdr:cNvPr>
        <xdr:cNvSpPr txBox="1"/>
      </xdr:nvSpPr>
      <xdr:spPr>
        <a:xfrm>
          <a:off x="7519987" y="7419976"/>
          <a:ext cx="1233488" cy="1042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Sub Problem 2</a:t>
          </a:r>
        </a:p>
        <a:p>
          <a:pPr algn="ctr"/>
          <a:r>
            <a:rPr lang="en-CA" sz="1400" baseline="0"/>
            <a:t>Z=23.3</a:t>
          </a:r>
        </a:p>
        <a:p>
          <a:pPr algn="ctr"/>
          <a:r>
            <a:rPr lang="en-CA" sz="1400" baseline="0"/>
            <a:t>x=4</a:t>
          </a:r>
        </a:p>
        <a:p>
          <a:pPr algn="ctr"/>
          <a:r>
            <a:rPr lang="en-CA" sz="1400" baseline="0"/>
            <a:t>y=1.67</a:t>
          </a:r>
        </a:p>
      </xdr:txBody>
    </xdr:sp>
    <xdr:clientData/>
  </xdr:twoCellAnchor>
  <xdr:twoCellAnchor editAs="oneCell">
    <xdr:from>
      <xdr:col>10</xdr:col>
      <xdr:colOff>609089</xdr:colOff>
      <xdr:row>23</xdr:row>
      <xdr:rowOff>138112</xdr:rowOff>
    </xdr:from>
    <xdr:to>
      <xdr:col>13</xdr:col>
      <xdr:colOff>113221</xdr:colOff>
      <xdr:row>28</xdr:row>
      <xdr:rowOff>90159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4F0C422-8C9C-D929-F7D1-F438A2515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0977" y="5395912"/>
          <a:ext cx="1447232" cy="1095047"/>
        </a:xfrm>
        <a:prstGeom prst="rect">
          <a:avLst/>
        </a:prstGeom>
      </xdr:spPr>
    </xdr:pic>
    <xdr:clientData/>
  </xdr:twoCellAnchor>
  <xdr:twoCellAnchor editAs="oneCell">
    <xdr:from>
      <xdr:col>6</xdr:col>
      <xdr:colOff>52388</xdr:colOff>
      <xdr:row>31</xdr:row>
      <xdr:rowOff>226865</xdr:rowOff>
    </xdr:from>
    <xdr:to>
      <xdr:col>7</xdr:col>
      <xdr:colOff>1027001</xdr:colOff>
      <xdr:row>37</xdr:row>
      <xdr:rowOff>82786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E60DDB9-21E0-8AD4-22B8-25245353A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8588" y="7313465"/>
          <a:ext cx="1622313" cy="1227521"/>
        </a:xfrm>
        <a:prstGeom prst="rect">
          <a:avLst/>
        </a:prstGeom>
      </xdr:spPr>
    </xdr:pic>
    <xdr:clientData/>
  </xdr:twoCellAnchor>
  <xdr:twoCellAnchor>
    <xdr:from>
      <xdr:col>19</xdr:col>
      <xdr:colOff>14289</xdr:colOff>
      <xdr:row>30</xdr:row>
      <xdr:rowOff>0</xdr:rowOff>
    </xdr:from>
    <xdr:to>
      <xdr:col>22</xdr:col>
      <xdr:colOff>113509</xdr:colOff>
      <xdr:row>33</xdr:row>
      <xdr:rowOff>104775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9E06B346-42F6-9A23-7517-95FB0CA30763}"/>
            </a:ext>
          </a:extLst>
        </xdr:cNvPr>
        <xdr:cNvSpPr/>
      </xdr:nvSpPr>
      <xdr:spPr>
        <a:xfrm>
          <a:off x="13325477" y="6858000"/>
          <a:ext cx="2042320" cy="790575"/>
        </a:xfrm>
        <a:prstGeom prst="triangle">
          <a:avLst>
            <a:gd name="adj" fmla="val 0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CA" kern="1200"/>
        </a:p>
      </xdr:txBody>
    </xdr:sp>
    <xdr:clientData/>
  </xdr:twoCellAnchor>
  <xdr:twoCellAnchor editAs="oneCell">
    <xdr:from>
      <xdr:col>12</xdr:col>
      <xdr:colOff>206636</xdr:colOff>
      <xdr:row>31</xdr:row>
      <xdr:rowOff>147637</xdr:rowOff>
    </xdr:from>
    <xdr:to>
      <xdr:col>14</xdr:col>
      <xdr:colOff>491079</xdr:colOff>
      <xdr:row>36</xdr:row>
      <xdr:rowOff>200024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166C191-606E-5BDA-850B-2E2D254F0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3924" y="7234237"/>
          <a:ext cx="1579843" cy="1195387"/>
        </a:xfrm>
        <a:prstGeom prst="rect">
          <a:avLst/>
        </a:prstGeom>
      </xdr:spPr>
    </xdr:pic>
    <xdr:clientData/>
  </xdr:twoCellAnchor>
  <xdr:twoCellAnchor>
    <xdr:from>
      <xdr:col>9</xdr:col>
      <xdr:colOff>621507</xdr:colOff>
      <xdr:row>37</xdr:row>
      <xdr:rowOff>14288</xdr:rowOff>
    </xdr:from>
    <xdr:to>
      <xdr:col>11</xdr:col>
      <xdr:colOff>14288</xdr:colOff>
      <xdr:row>40</xdr:row>
      <xdr:rowOff>219075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F38FE59-8E47-4C48-9463-93302E49155D}"/>
            </a:ext>
          </a:extLst>
        </xdr:cNvPr>
        <xdr:cNvCxnSpPr/>
      </xdr:nvCxnSpPr>
      <xdr:spPr>
        <a:xfrm flipH="1">
          <a:off x="7331870" y="8472488"/>
          <a:ext cx="812006" cy="890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14288</xdr:colOff>
      <xdr:row>37</xdr:row>
      <xdr:rowOff>14288</xdr:rowOff>
    </xdr:from>
    <xdr:to>
      <xdr:col>12</xdr:col>
      <xdr:colOff>164307</xdr:colOff>
      <xdr:row>40</xdr:row>
      <xdr:rowOff>223837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B42CD470-E780-446F-A3E0-736BF5D04074}"/>
            </a:ext>
          </a:extLst>
        </xdr:cNvPr>
        <xdr:cNvCxnSpPr/>
      </xdr:nvCxnSpPr>
      <xdr:spPr>
        <a:xfrm>
          <a:off x="8143876" y="8472488"/>
          <a:ext cx="797719" cy="89534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195263</xdr:colOff>
      <xdr:row>38</xdr:row>
      <xdr:rowOff>57150</xdr:rowOff>
    </xdr:from>
    <xdr:ext cx="60516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077CD11-0053-459B-B74E-D768A5D1DDDB}"/>
                </a:ext>
              </a:extLst>
            </xdr:cNvPr>
            <xdr:cNvSpPr txBox="1"/>
          </xdr:nvSpPr>
          <xdr:spPr>
            <a:xfrm>
              <a:off x="6905626" y="8743950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≤1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077CD11-0053-459B-B74E-D768A5D1DDDB}"/>
                </a:ext>
              </a:extLst>
            </xdr:cNvPr>
            <xdr:cNvSpPr txBox="1"/>
          </xdr:nvSpPr>
          <xdr:spPr>
            <a:xfrm>
              <a:off x="6905626" y="8743950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800" b="0" i="0">
                  <a:latin typeface="Cambria Math" panose="02040503050406030204" pitchFamily="18" charset="0"/>
                </a:rPr>
                <a:t>𝑦≤1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11</xdr:col>
      <xdr:colOff>581026</xdr:colOff>
      <xdr:row>38</xdr:row>
      <xdr:rowOff>90487</xdr:rowOff>
    </xdr:from>
    <xdr:ext cx="60516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E3D6179-EE7C-4012-A5CB-89FCBD4A1EB4}"/>
                </a:ext>
              </a:extLst>
            </xdr:cNvPr>
            <xdr:cNvSpPr txBox="1"/>
          </xdr:nvSpPr>
          <xdr:spPr>
            <a:xfrm>
              <a:off x="8710614" y="8777287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≥2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E3D6179-EE7C-4012-A5CB-89FCBD4A1EB4}"/>
                </a:ext>
              </a:extLst>
            </xdr:cNvPr>
            <xdr:cNvSpPr txBox="1"/>
          </xdr:nvSpPr>
          <xdr:spPr>
            <a:xfrm>
              <a:off x="8710614" y="8777287"/>
              <a:ext cx="60516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800" b="0" i="0">
                  <a:latin typeface="Cambria Math" panose="02040503050406030204" pitchFamily="18" charset="0"/>
                </a:rPr>
                <a:t>𝑦≥2</a:t>
              </a:r>
              <a:endParaRPr lang="en-CA" sz="1800"/>
            </a:p>
          </xdr:txBody>
        </xdr:sp>
      </mc:Fallback>
    </mc:AlternateContent>
    <xdr:clientData/>
  </xdr:oneCellAnchor>
  <xdr:twoCellAnchor>
    <xdr:from>
      <xdr:col>9</xdr:col>
      <xdr:colOff>4762</xdr:colOff>
      <xdr:row>40</xdr:row>
      <xdr:rowOff>223839</xdr:rowOff>
    </xdr:from>
    <xdr:to>
      <xdr:col>10</xdr:col>
      <xdr:colOff>466725</xdr:colOff>
      <xdr:row>46</xdr:row>
      <xdr:rowOff>185738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F3DA5AF-AB44-4CBA-A7DE-13AC4E65CBB2}"/>
            </a:ext>
          </a:extLst>
        </xdr:cNvPr>
        <xdr:cNvSpPr txBox="1"/>
      </xdr:nvSpPr>
      <xdr:spPr>
        <a:xfrm>
          <a:off x="6715125" y="9367839"/>
          <a:ext cx="1233488" cy="1333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Sub Problem 3</a:t>
          </a:r>
        </a:p>
        <a:p>
          <a:pPr algn="ctr"/>
          <a:r>
            <a:rPr lang="en-CA" sz="1400" baseline="0"/>
            <a:t>Z=23</a:t>
          </a:r>
        </a:p>
        <a:p>
          <a:pPr algn="ctr"/>
          <a:r>
            <a:rPr lang="en-CA" sz="1400" baseline="0"/>
            <a:t>x=4.2</a:t>
          </a:r>
        </a:p>
        <a:p>
          <a:pPr algn="ctr"/>
          <a:r>
            <a:rPr lang="en-CA" sz="1400" baseline="0"/>
            <a:t>y=1</a:t>
          </a:r>
        </a:p>
        <a:p>
          <a:pPr algn="ctr"/>
          <a:r>
            <a:rPr lang="en-CA" sz="1400" baseline="0"/>
            <a:t>UB = 22</a:t>
          </a:r>
        </a:p>
      </xdr:txBody>
    </xdr:sp>
    <xdr:clientData/>
  </xdr:twoCellAnchor>
  <xdr:twoCellAnchor editAs="oneCell">
    <xdr:from>
      <xdr:col>7</xdr:col>
      <xdr:colOff>423864</xdr:colOff>
      <xdr:row>40</xdr:row>
      <xdr:rowOff>90489</xdr:rowOff>
    </xdr:from>
    <xdr:to>
      <xdr:col>8</xdr:col>
      <xdr:colOff>994435</xdr:colOff>
      <xdr:row>45</xdr:row>
      <xdr:rowOff>182801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8678236-D430-38CC-42CE-A6A026F08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7764" y="9234489"/>
          <a:ext cx="1632609" cy="1235312"/>
        </a:xfrm>
        <a:prstGeom prst="rect">
          <a:avLst/>
        </a:prstGeom>
      </xdr:spPr>
    </xdr:pic>
    <xdr:clientData/>
  </xdr:twoCellAnchor>
  <xdr:twoCellAnchor>
    <xdr:from>
      <xdr:col>20</xdr:col>
      <xdr:colOff>372270</xdr:colOff>
      <xdr:row>25</xdr:row>
      <xdr:rowOff>142876</xdr:rowOff>
    </xdr:from>
    <xdr:to>
      <xdr:col>22</xdr:col>
      <xdr:colOff>623886</xdr:colOff>
      <xdr:row>29</xdr:row>
      <xdr:rowOff>147638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F72B60CD-DC9B-404B-7292-7EA2014750C3}"/>
            </a:ext>
          </a:extLst>
        </xdr:cNvPr>
        <xdr:cNvSpPr/>
      </xdr:nvSpPr>
      <xdr:spPr>
        <a:xfrm rot="5400000" flipH="1">
          <a:off x="14645085" y="5543949"/>
          <a:ext cx="919162" cy="1547016"/>
        </a:xfrm>
        <a:prstGeom prst="triangle">
          <a:avLst>
            <a:gd name="adj" fmla="val 0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CA" kern="1200"/>
        </a:p>
      </xdr:txBody>
    </xdr:sp>
    <xdr:clientData/>
  </xdr:twoCellAnchor>
  <xdr:twoCellAnchor>
    <xdr:from>
      <xdr:col>18</xdr:col>
      <xdr:colOff>95250</xdr:colOff>
      <xdr:row>26</xdr:row>
      <xdr:rowOff>61912</xdr:rowOff>
    </xdr:from>
    <xdr:to>
      <xdr:col>19</xdr:col>
      <xdr:colOff>531240</xdr:colOff>
      <xdr:row>30</xdr:row>
      <xdr:rowOff>146789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ED2EE99E-F449-3E2E-EBD6-25E334E73B73}"/>
            </a:ext>
          </a:extLst>
        </xdr:cNvPr>
        <xdr:cNvSpPr/>
      </xdr:nvSpPr>
      <xdr:spPr>
        <a:xfrm>
          <a:off x="12758738" y="6005512"/>
          <a:ext cx="1083690" cy="999277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CA" kern="1200"/>
        </a:p>
      </xdr:txBody>
    </xdr:sp>
    <xdr:clientData/>
  </xdr:twoCellAnchor>
  <xdr:twoCellAnchor editAs="oneCell">
    <xdr:from>
      <xdr:col>13</xdr:col>
      <xdr:colOff>604839</xdr:colOff>
      <xdr:row>40</xdr:row>
      <xdr:rowOff>142875</xdr:rowOff>
    </xdr:from>
    <xdr:to>
      <xdr:col>16</xdr:col>
      <xdr:colOff>225113</xdr:colOff>
      <xdr:row>45</xdr:row>
      <xdr:rowOff>182800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89B91A0-B798-701F-F238-D72F2F7D2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29827" y="9286875"/>
          <a:ext cx="1563374" cy="1182925"/>
        </a:xfrm>
        <a:prstGeom prst="rect">
          <a:avLst/>
        </a:prstGeom>
      </xdr:spPr>
    </xdr:pic>
    <xdr:clientData/>
  </xdr:twoCellAnchor>
  <xdr:twoCellAnchor>
    <xdr:from>
      <xdr:col>11</xdr:col>
      <xdr:colOff>295275</xdr:colOff>
      <xdr:row>40</xdr:row>
      <xdr:rowOff>223839</xdr:rowOff>
    </xdr:from>
    <xdr:to>
      <xdr:col>13</xdr:col>
      <xdr:colOff>233363</xdr:colOff>
      <xdr:row>45</xdr:row>
      <xdr:rowOff>123826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5BD0C72-936C-40C2-B923-0AB1810B0BF1}"/>
            </a:ext>
          </a:extLst>
        </xdr:cNvPr>
        <xdr:cNvSpPr txBox="1"/>
      </xdr:nvSpPr>
      <xdr:spPr>
        <a:xfrm>
          <a:off x="8424863" y="9367839"/>
          <a:ext cx="1233488" cy="1042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Sub Problem 4</a:t>
          </a:r>
        </a:p>
        <a:p>
          <a:pPr algn="ctr"/>
          <a:r>
            <a:rPr lang="en-CA" sz="1400" b="1" baseline="0"/>
            <a:t>Infeasible</a:t>
          </a:r>
        </a:p>
      </xdr:txBody>
    </xdr:sp>
    <xdr:clientData/>
  </xdr:twoCellAnchor>
  <xdr:twoCellAnchor>
    <xdr:from>
      <xdr:col>17</xdr:col>
      <xdr:colOff>509588</xdr:colOff>
      <xdr:row>14</xdr:row>
      <xdr:rowOff>128587</xdr:rowOff>
    </xdr:from>
    <xdr:to>
      <xdr:col>17</xdr:col>
      <xdr:colOff>604823</xdr:colOff>
      <xdr:row>15</xdr:row>
      <xdr:rowOff>26050</xdr:rowOff>
    </xdr:to>
    <xdr:sp macro="" textlink="">
      <xdr:nvSpPr>
        <xdr:cNvPr id="38" name="Star: 5 Points 37">
          <a:extLst>
            <a:ext uri="{FF2B5EF4-FFF2-40B4-BE49-F238E27FC236}">
              <a16:creationId xmlns:a16="http://schemas.microsoft.com/office/drawing/2014/main" id="{814A917A-8279-597F-F392-F80BEF032D35}"/>
            </a:ext>
          </a:extLst>
        </xdr:cNvPr>
        <xdr:cNvSpPr/>
      </xdr:nvSpPr>
      <xdr:spPr>
        <a:xfrm>
          <a:off x="12525376" y="3328987"/>
          <a:ext cx="95235" cy="126063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CA" kern="1200"/>
        </a:p>
      </xdr:txBody>
    </xdr:sp>
    <xdr:clientData/>
  </xdr:twoCellAnchor>
  <xdr:twoCellAnchor>
    <xdr:from>
      <xdr:col>8</xdr:col>
      <xdr:colOff>921544</xdr:colOff>
      <xdr:row>46</xdr:row>
      <xdr:rowOff>185738</xdr:rowOff>
    </xdr:from>
    <xdr:to>
      <xdr:col>9</xdr:col>
      <xdr:colOff>621506</xdr:colOff>
      <xdr:row>51</xdr:row>
      <xdr:rowOff>95259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8B23368-B593-4693-8CC6-971C94DC89F4}"/>
            </a:ext>
          </a:extLst>
        </xdr:cNvPr>
        <xdr:cNvCxnSpPr>
          <a:stCxn id="33" idx="2"/>
        </xdr:cNvCxnSpPr>
      </xdr:nvCxnSpPr>
      <xdr:spPr>
        <a:xfrm flipH="1">
          <a:off x="6517482" y="10701338"/>
          <a:ext cx="814387" cy="10525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621506</xdr:colOff>
      <xdr:row>46</xdr:row>
      <xdr:rowOff>185738</xdr:rowOff>
    </xdr:from>
    <xdr:to>
      <xdr:col>10</xdr:col>
      <xdr:colOff>645319</xdr:colOff>
      <xdr:row>51</xdr:row>
      <xdr:rowOff>100021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B85AE17F-EF59-4816-9919-F394C3616B77}"/>
            </a:ext>
          </a:extLst>
        </xdr:cNvPr>
        <xdr:cNvCxnSpPr>
          <a:stCxn id="33" idx="2"/>
        </xdr:cNvCxnSpPr>
      </xdr:nvCxnSpPr>
      <xdr:spPr>
        <a:xfrm>
          <a:off x="7331869" y="10701338"/>
          <a:ext cx="795338" cy="105728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495300</xdr:colOff>
      <xdr:row>48</xdr:row>
      <xdr:rowOff>161934</xdr:rowOff>
    </xdr:from>
    <xdr:ext cx="601896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85B1C7C1-0E20-496D-B171-E51646F1339E}"/>
                </a:ext>
              </a:extLst>
            </xdr:cNvPr>
            <xdr:cNvSpPr txBox="1"/>
          </xdr:nvSpPr>
          <xdr:spPr>
            <a:xfrm>
              <a:off x="6091238" y="11134734"/>
              <a:ext cx="60189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≤4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85B1C7C1-0E20-496D-B171-E51646F1339E}"/>
                </a:ext>
              </a:extLst>
            </xdr:cNvPr>
            <xdr:cNvSpPr txBox="1"/>
          </xdr:nvSpPr>
          <xdr:spPr>
            <a:xfrm>
              <a:off x="6091238" y="11134734"/>
              <a:ext cx="601896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800" b="0" i="0">
                  <a:latin typeface="Cambria Math" panose="02040503050406030204" pitchFamily="18" charset="0"/>
                </a:rPr>
                <a:t>𝑥≤4</a:t>
              </a:r>
              <a:endParaRPr lang="en-CA" sz="1800"/>
            </a:p>
          </xdr:txBody>
        </xdr:sp>
      </mc:Fallback>
    </mc:AlternateContent>
    <xdr:clientData/>
  </xdr:oneCellAnchor>
  <xdr:oneCellAnchor>
    <xdr:from>
      <xdr:col>10</xdr:col>
      <xdr:colOff>414338</xdr:colOff>
      <xdr:row>48</xdr:row>
      <xdr:rowOff>195271</xdr:rowOff>
    </xdr:from>
    <xdr:ext cx="601895" cy="2843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059C69C-7D6F-425C-9FE9-A3125E3D885B}"/>
                </a:ext>
              </a:extLst>
            </xdr:cNvPr>
            <xdr:cNvSpPr txBox="1"/>
          </xdr:nvSpPr>
          <xdr:spPr>
            <a:xfrm>
              <a:off x="7896226" y="11168071"/>
              <a:ext cx="601895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CA" sz="1800" b="0" i="1">
                        <a:latin typeface="Cambria Math" panose="02040503050406030204" pitchFamily="18" charset="0"/>
                      </a:rPr>
                      <m:t>≥5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6059C69C-7D6F-425C-9FE9-A3125E3D885B}"/>
                </a:ext>
              </a:extLst>
            </xdr:cNvPr>
            <xdr:cNvSpPr txBox="1"/>
          </xdr:nvSpPr>
          <xdr:spPr>
            <a:xfrm>
              <a:off x="7896226" y="11168071"/>
              <a:ext cx="601895" cy="2843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CA" sz="1800" b="0" i="0">
                  <a:latin typeface="Cambria Math" panose="02040503050406030204" pitchFamily="18" charset="0"/>
                </a:rPr>
                <a:t>𝑥≥5</a:t>
              </a:r>
              <a:endParaRPr lang="en-CA" sz="1800"/>
            </a:p>
          </xdr:txBody>
        </xdr:sp>
      </mc:Fallback>
    </mc:AlternateContent>
    <xdr:clientData/>
  </xdr:oneCellAnchor>
  <xdr:twoCellAnchor editAs="oneCell">
    <xdr:from>
      <xdr:col>12</xdr:col>
      <xdr:colOff>202174</xdr:colOff>
      <xdr:row>51</xdr:row>
      <xdr:rowOff>47625</xdr:rowOff>
    </xdr:from>
    <xdr:to>
      <xdr:col>14</xdr:col>
      <xdr:colOff>331675</xdr:colOff>
      <xdr:row>55</xdr:row>
      <xdr:rowOff>211375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DC3055E-77DA-9A5C-4218-28009FBB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79462" y="11706225"/>
          <a:ext cx="1424901" cy="1078150"/>
        </a:xfrm>
        <a:prstGeom prst="rect">
          <a:avLst/>
        </a:prstGeom>
      </xdr:spPr>
    </xdr:pic>
    <xdr:clientData/>
  </xdr:twoCellAnchor>
  <xdr:twoCellAnchor>
    <xdr:from>
      <xdr:col>10</xdr:col>
      <xdr:colOff>66675</xdr:colOff>
      <xdr:row>51</xdr:row>
      <xdr:rowOff>104787</xdr:rowOff>
    </xdr:from>
    <xdr:to>
      <xdr:col>12</xdr:col>
      <xdr:colOff>4763</xdr:colOff>
      <xdr:row>56</xdr:row>
      <xdr:rowOff>4774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210A7CE-D364-4547-AC97-E7A144FED568}"/>
            </a:ext>
          </a:extLst>
        </xdr:cNvPr>
        <xdr:cNvSpPr txBox="1"/>
      </xdr:nvSpPr>
      <xdr:spPr>
        <a:xfrm>
          <a:off x="7548563" y="11763387"/>
          <a:ext cx="1233488" cy="1042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Sub Problem 6</a:t>
          </a:r>
        </a:p>
        <a:p>
          <a:pPr algn="ctr"/>
          <a:r>
            <a:rPr lang="en-CA" sz="1400" b="1" baseline="0"/>
            <a:t>Infeasible</a:t>
          </a:r>
        </a:p>
      </xdr:txBody>
    </xdr:sp>
    <xdr:clientData/>
  </xdr:twoCellAnchor>
  <xdr:twoCellAnchor>
    <xdr:from>
      <xdr:col>8</xdr:col>
      <xdr:colOff>300036</xdr:colOff>
      <xdr:row>51</xdr:row>
      <xdr:rowOff>85737</xdr:rowOff>
    </xdr:from>
    <xdr:to>
      <xdr:col>9</xdr:col>
      <xdr:colOff>419099</xdr:colOff>
      <xdr:row>56</xdr:row>
      <xdr:rowOff>176223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C218FB2-116E-4010-B884-A81855068068}"/>
            </a:ext>
          </a:extLst>
        </xdr:cNvPr>
        <xdr:cNvSpPr txBox="1"/>
      </xdr:nvSpPr>
      <xdr:spPr>
        <a:xfrm>
          <a:off x="5895974" y="11744337"/>
          <a:ext cx="1233488" cy="12334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Sub Problem 5</a:t>
          </a:r>
        </a:p>
        <a:p>
          <a:pPr algn="ctr"/>
          <a:r>
            <a:rPr lang="en-CA" sz="1400" baseline="0"/>
            <a:t>Z=22</a:t>
          </a:r>
        </a:p>
        <a:p>
          <a:pPr algn="ctr"/>
          <a:r>
            <a:rPr lang="en-CA" sz="1400" baseline="0"/>
            <a:t>x=4</a:t>
          </a:r>
        </a:p>
        <a:p>
          <a:pPr algn="ctr"/>
          <a:r>
            <a:rPr lang="en-CA" sz="1400" baseline="0"/>
            <a:t>y=1</a:t>
          </a:r>
        </a:p>
        <a:p>
          <a:pPr algn="ctr"/>
          <a:r>
            <a:rPr lang="en-CA" sz="1400" b="1" baseline="0"/>
            <a:t>OPTIMAL</a:t>
          </a:r>
        </a:p>
      </xdr:txBody>
    </xdr:sp>
    <xdr:clientData/>
  </xdr:twoCellAnchor>
  <xdr:twoCellAnchor editAs="oneCell">
    <xdr:from>
      <xdr:col>6</xdr:col>
      <xdr:colOff>95100</xdr:colOff>
      <xdr:row>51</xdr:row>
      <xdr:rowOff>37811</xdr:rowOff>
    </xdr:from>
    <xdr:to>
      <xdr:col>8</xdr:col>
      <xdr:colOff>119061</xdr:colOff>
      <xdr:row>56</xdr:row>
      <xdr:rowOff>206613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1B2EB24-C5A9-9EB8-DA2F-33AD25E0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3981300" y="11696411"/>
          <a:ext cx="1733699" cy="1311802"/>
        </a:xfrm>
        <a:prstGeom prst="rect">
          <a:avLst/>
        </a:prstGeom>
      </xdr:spPr>
    </xdr:pic>
    <xdr:clientData/>
  </xdr:twoCellAnchor>
  <xdr:twoCellAnchor>
    <xdr:from>
      <xdr:col>4</xdr:col>
      <xdr:colOff>252413</xdr:colOff>
      <xdr:row>37</xdr:row>
      <xdr:rowOff>161925</xdr:rowOff>
    </xdr:from>
    <xdr:to>
      <xdr:col>8</xdr:col>
      <xdr:colOff>773906</xdr:colOff>
      <xdr:row>43</xdr:row>
      <xdr:rowOff>176213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11FD7701-1348-DF4F-534E-8173064D7015}"/>
            </a:ext>
          </a:extLst>
        </xdr:cNvPr>
        <xdr:cNvCxnSpPr>
          <a:stCxn id="12" idx="2"/>
        </xdr:cNvCxnSpPr>
      </xdr:nvCxnSpPr>
      <xdr:spPr>
        <a:xfrm flipH="1">
          <a:off x="2843213" y="8620125"/>
          <a:ext cx="3526631" cy="1385888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166688</xdr:colOff>
      <xdr:row>43</xdr:row>
      <xdr:rowOff>209552</xdr:rowOff>
    </xdr:from>
    <xdr:to>
      <xdr:col>5</xdr:col>
      <xdr:colOff>104776</xdr:colOff>
      <xdr:row>48</xdr:row>
      <xdr:rowOff>109539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4A10F024-78EA-40BA-9BE6-F014C1E1BA67}"/>
            </a:ext>
          </a:extLst>
        </xdr:cNvPr>
        <xdr:cNvSpPr txBox="1"/>
      </xdr:nvSpPr>
      <xdr:spPr>
        <a:xfrm>
          <a:off x="2109788" y="10039352"/>
          <a:ext cx="1233488" cy="10429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CA" sz="1400" baseline="0"/>
            <a:t>Feasible solutions may exist but not optimal ones.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522466</xdr:colOff>
      <xdr:row>0</xdr:row>
      <xdr:rowOff>190500</xdr:rowOff>
    </xdr:from>
    <xdr:to>
      <xdr:col>13</xdr:col>
      <xdr:colOff>582947</xdr:colOff>
      <xdr:row>5</xdr:row>
      <xdr:rowOff>93952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15CA705C-AC56-92F5-8892-4C09C86C6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1766" y="190500"/>
          <a:ext cx="2651281" cy="1046452"/>
        </a:xfrm>
        <a:prstGeom prst="rect">
          <a:avLst/>
        </a:prstGeom>
      </xdr:spPr>
    </xdr:pic>
    <xdr:clientData/>
  </xdr:twoCellAnchor>
  <xdr:twoCellAnchor editAs="oneCell">
    <xdr:from>
      <xdr:col>6</xdr:col>
      <xdr:colOff>45733</xdr:colOff>
      <xdr:row>0</xdr:row>
      <xdr:rowOff>190501</xdr:rowOff>
    </xdr:from>
    <xdr:to>
      <xdr:col>9</xdr:col>
      <xdr:colOff>409438</xdr:colOff>
      <xdr:row>7</xdr:row>
      <xdr:rowOff>78423</xdr:rowOff>
    </xdr:to>
    <xdr:pic>
      <xdr:nvPicPr>
        <xdr:cNvPr id="3" name="table">
          <a:extLst>
            <a:ext uri="{FF2B5EF4-FFF2-40B4-BE49-F238E27FC236}">
              <a16:creationId xmlns:a16="http://schemas.microsoft.com/office/drawing/2014/main" id="{21F5C6E1-0E5F-7C11-AF7B-CB951404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1933" y="190501"/>
          <a:ext cx="2306805" cy="1488122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0</xdr:row>
      <xdr:rowOff>192852</xdr:rowOff>
    </xdr:from>
    <xdr:to>
      <xdr:col>5</xdr:col>
      <xdr:colOff>581036</xdr:colOff>
      <xdr:row>5</xdr:row>
      <xdr:rowOff>162372</xdr:rowOff>
    </xdr:to>
    <xdr:pic>
      <xdr:nvPicPr>
        <xdr:cNvPr id="4" name="table">
          <a:extLst>
            <a:ext uri="{FF2B5EF4-FFF2-40B4-BE49-F238E27FC236}">
              <a16:creationId xmlns:a16="http://schemas.microsoft.com/office/drawing/2014/main" id="{213706E6-72ED-9760-B0D1-F193E0644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192852"/>
          <a:ext cx="3467111" cy="111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B230-2E6C-4769-A057-F7E1E8228B9D}">
  <dimension ref="E8:J26"/>
  <sheetViews>
    <sheetView workbookViewId="0"/>
  </sheetViews>
  <sheetFormatPr defaultColWidth="9.109375" defaultRowHeight="18" x14ac:dyDescent="0.35"/>
  <cols>
    <col min="1" max="8" width="9.109375" style="1"/>
    <col min="9" max="10" width="13.5546875" style="1" bestFit="1" customWidth="1"/>
    <col min="11" max="16384" width="9.109375" style="1"/>
  </cols>
  <sheetData>
    <row r="8" spans="7:10" x14ac:dyDescent="0.35">
      <c r="G8" s="1" t="s">
        <v>0</v>
      </c>
      <c r="H8" s="1" t="s">
        <v>2</v>
      </c>
      <c r="I8" s="1" t="s">
        <v>3</v>
      </c>
      <c r="J8" s="1" t="s">
        <v>4</v>
      </c>
    </row>
    <row r="9" spans="7:10" x14ac:dyDescent="0.35">
      <c r="G9" s="1">
        <v>0</v>
      </c>
      <c r="H9" s="1">
        <f>100-G9</f>
        <v>100</v>
      </c>
      <c r="I9" s="1">
        <f>(250-2*G9)/3</f>
        <v>83.333333333333329</v>
      </c>
      <c r="J9" s="1">
        <f>(350-3*G9)/4</f>
        <v>87.5</v>
      </c>
    </row>
    <row r="10" spans="7:10" x14ac:dyDescent="0.35">
      <c r="G10" s="1">
        <v>10</v>
      </c>
      <c r="H10" s="1">
        <f t="shared" ref="H10:H19" si="0">100-G10</f>
        <v>90</v>
      </c>
      <c r="I10" s="1">
        <f t="shared" ref="I10:I19" si="1">(250-2*G10)/3</f>
        <v>76.666666666666671</v>
      </c>
      <c r="J10" s="1">
        <f t="shared" ref="J10:J19" si="2">(350-3*G10)/4</f>
        <v>80</v>
      </c>
    </row>
    <row r="11" spans="7:10" x14ac:dyDescent="0.35">
      <c r="G11" s="1">
        <v>20</v>
      </c>
      <c r="H11" s="1">
        <f t="shared" si="0"/>
        <v>80</v>
      </c>
      <c r="I11" s="1">
        <f t="shared" si="1"/>
        <v>70</v>
      </c>
      <c r="J11" s="1">
        <f t="shared" si="2"/>
        <v>72.5</v>
      </c>
    </row>
    <row r="12" spans="7:10" x14ac:dyDescent="0.35">
      <c r="G12" s="1">
        <v>30</v>
      </c>
      <c r="H12" s="1">
        <f t="shared" si="0"/>
        <v>70</v>
      </c>
      <c r="I12" s="1">
        <f t="shared" si="1"/>
        <v>63.333333333333336</v>
      </c>
      <c r="J12" s="1">
        <f t="shared" si="2"/>
        <v>65</v>
      </c>
    </row>
    <row r="13" spans="7:10" x14ac:dyDescent="0.35">
      <c r="G13" s="1">
        <v>40</v>
      </c>
      <c r="H13" s="1">
        <f t="shared" si="0"/>
        <v>60</v>
      </c>
      <c r="I13" s="1">
        <f t="shared" si="1"/>
        <v>56.666666666666664</v>
      </c>
      <c r="J13" s="1">
        <f t="shared" si="2"/>
        <v>57.5</v>
      </c>
    </row>
    <row r="14" spans="7:10" x14ac:dyDescent="0.35">
      <c r="G14" s="1">
        <v>50</v>
      </c>
      <c r="H14" s="1">
        <f t="shared" si="0"/>
        <v>50</v>
      </c>
      <c r="I14" s="1">
        <f t="shared" si="1"/>
        <v>50</v>
      </c>
      <c r="J14" s="1">
        <f t="shared" si="2"/>
        <v>50</v>
      </c>
    </row>
    <row r="15" spans="7:10" x14ac:dyDescent="0.35">
      <c r="G15" s="1">
        <v>60</v>
      </c>
      <c r="H15" s="1">
        <f t="shared" si="0"/>
        <v>40</v>
      </c>
      <c r="I15" s="1">
        <f t="shared" si="1"/>
        <v>43.333333333333336</v>
      </c>
      <c r="J15" s="1">
        <f t="shared" si="2"/>
        <v>42.5</v>
      </c>
    </row>
    <row r="16" spans="7:10" x14ac:dyDescent="0.35">
      <c r="G16" s="1">
        <v>70</v>
      </c>
      <c r="H16" s="1">
        <f t="shared" si="0"/>
        <v>30</v>
      </c>
      <c r="I16" s="1">
        <f t="shared" si="1"/>
        <v>36.666666666666664</v>
      </c>
      <c r="J16" s="1">
        <f t="shared" si="2"/>
        <v>35</v>
      </c>
    </row>
    <row r="17" spans="5:10" x14ac:dyDescent="0.35">
      <c r="G17" s="1">
        <v>80</v>
      </c>
      <c r="H17" s="1">
        <f t="shared" si="0"/>
        <v>20</v>
      </c>
      <c r="I17" s="1">
        <f t="shared" si="1"/>
        <v>30</v>
      </c>
      <c r="J17" s="1">
        <f t="shared" si="2"/>
        <v>27.5</v>
      </c>
    </row>
    <row r="18" spans="5:10" x14ac:dyDescent="0.35">
      <c r="G18" s="1">
        <v>90</v>
      </c>
      <c r="H18" s="1">
        <f t="shared" si="0"/>
        <v>10</v>
      </c>
      <c r="I18" s="1">
        <f t="shared" si="1"/>
        <v>23.333333333333332</v>
      </c>
      <c r="J18" s="1">
        <f t="shared" si="2"/>
        <v>20</v>
      </c>
    </row>
    <row r="19" spans="5:10" x14ac:dyDescent="0.35">
      <c r="G19" s="1">
        <v>100</v>
      </c>
      <c r="H19" s="1">
        <f t="shared" si="0"/>
        <v>0</v>
      </c>
      <c r="I19" s="1">
        <f t="shared" si="1"/>
        <v>16.666666666666668</v>
      </c>
      <c r="J19" s="1">
        <f t="shared" si="2"/>
        <v>12.5</v>
      </c>
    </row>
    <row r="22" spans="5:10" x14ac:dyDescent="0.35">
      <c r="E22" s="1">
        <v>40</v>
      </c>
      <c r="F22" s="1">
        <v>50</v>
      </c>
      <c r="H22" s="3">
        <f>SUMPRODUCT(E22:F22,E23:F23)</f>
        <v>4500</v>
      </c>
    </row>
    <row r="23" spans="5:10" x14ac:dyDescent="0.35">
      <c r="E23" s="2">
        <v>50.000000000000007</v>
      </c>
      <c r="F23" s="2">
        <v>49.999999999999993</v>
      </c>
    </row>
    <row r="24" spans="5:10" x14ac:dyDescent="0.35">
      <c r="E24" s="1">
        <v>1</v>
      </c>
      <c r="F24" s="1">
        <v>1</v>
      </c>
      <c r="G24" s="1">
        <f>SUMPRODUCT($E$23:$F$23,E24:F24)</f>
        <v>100</v>
      </c>
      <c r="H24" s="1" t="s">
        <v>5</v>
      </c>
      <c r="I24" s="1">
        <v>100</v>
      </c>
    </row>
    <row r="25" spans="5:10" x14ac:dyDescent="0.35">
      <c r="E25" s="1">
        <v>2</v>
      </c>
      <c r="F25" s="1">
        <v>3</v>
      </c>
      <c r="G25" s="1">
        <f t="shared" ref="G25:G26" si="3">SUMPRODUCT($E$23:$F$23,E25:F25)</f>
        <v>250</v>
      </c>
      <c r="H25" s="1" t="s">
        <v>5</v>
      </c>
      <c r="I25" s="1">
        <v>250</v>
      </c>
    </row>
    <row r="26" spans="5:10" x14ac:dyDescent="0.35">
      <c r="E26" s="1">
        <v>3</v>
      </c>
      <c r="F26" s="1">
        <v>4</v>
      </c>
      <c r="G26" s="1">
        <f t="shared" si="3"/>
        <v>350</v>
      </c>
      <c r="H26" s="1" t="s">
        <v>5</v>
      </c>
      <c r="I26" s="1">
        <v>350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1559-A971-4748-B573-DAE3ACB15422}">
  <dimension ref="G4:L15"/>
  <sheetViews>
    <sheetView tabSelected="1" workbookViewId="0"/>
  </sheetViews>
  <sheetFormatPr defaultColWidth="9.109375" defaultRowHeight="18" x14ac:dyDescent="0.35"/>
  <cols>
    <col min="1" max="16384" width="9.109375" style="1"/>
  </cols>
  <sheetData>
    <row r="4" spans="7:12" x14ac:dyDescent="0.35">
      <c r="G4" s="1" t="s">
        <v>0</v>
      </c>
      <c r="H4" s="1" t="s">
        <v>1</v>
      </c>
      <c r="I4" s="1" t="s">
        <v>6</v>
      </c>
      <c r="K4" s="1" t="s">
        <v>7</v>
      </c>
    </row>
    <row r="5" spans="7:12" x14ac:dyDescent="0.35">
      <c r="G5" s="1">
        <v>20</v>
      </c>
      <c r="H5" s="1">
        <v>30</v>
      </c>
      <c r="I5" s="1">
        <v>15</v>
      </c>
      <c r="K5" s="3">
        <f>SUMPRODUCT(G5:I5,G6:I6)</f>
        <v>375</v>
      </c>
    </row>
    <row r="6" spans="7:12" x14ac:dyDescent="0.35">
      <c r="G6" s="2">
        <v>18</v>
      </c>
      <c r="H6" s="2">
        <v>0.5</v>
      </c>
      <c r="I6" s="2">
        <v>0</v>
      </c>
    </row>
    <row r="8" spans="7:12" x14ac:dyDescent="0.35">
      <c r="G8" s="1">
        <v>3</v>
      </c>
      <c r="H8" s="1">
        <v>2</v>
      </c>
      <c r="I8" s="1">
        <v>5</v>
      </c>
      <c r="J8" s="4">
        <f>SUMPRODUCT($G$6:$I$6,G8:I8)</f>
        <v>55</v>
      </c>
      <c r="K8" s="1" t="s">
        <v>5</v>
      </c>
      <c r="L8" s="1">
        <v>55</v>
      </c>
    </row>
    <row r="9" spans="7:12" x14ac:dyDescent="0.35">
      <c r="G9" s="1">
        <v>2</v>
      </c>
      <c r="H9" s="1">
        <v>4</v>
      </c>
      <c r="I9" s="1">
        <v>1</v>
      </c>
      <c r="J9" s="4">
        <f t="shared" ref="J9" si="0">SUMPRODUCT($G$6:$I$6,G9:I9)</f>
        <v>38</v>
      </c>
      <c r="K9" s="1" t="s">
        <v>5</v>
      </c>
      <c r="L9" s="1">
        <v>40</v>
      </c>
    </row>
    <row r="10" spans="7:12" x14ac:dyDescent="0.35">
      <c r="G10" s="1">
        <v>1</v>
      </c>
      <c r="H10" s="1">
        <v>3</v>
      </c>
      <c r="I10" s="1">
        <v>2</v>
      </c>
      <c r="J10" s="4">
        <f>SUMPRODUCT($G$6:$I$6,G10:I10)</f>
        <v>19.5</v>
      </c>
      <c r="K10" s="1" t="s">
        <v>5</v>
      </c>
      <c r="L10" s="1">
        <v>30</v>
      </c>
    </row>
    <row r="12" spans="7:12" x14ac:dyDescent="0.35">
      <c r="G12" s="1">
        <v>1</v>
      </c>
      <c r="H12" s="1">
        <v>0</v>
      </c>
      <c r="I12" s="1">
        <v>0</v>
      </c>
      <c r="J12" s="4">
        <f>SUMPRODUCT($G$6:$I$6,G12:I12)</f>
        <v>18</v>
      </c>
      <c r="K12" s="1" t="s">
        <v>8</v>
      </c>
      <c r="L12" s="1">
        <v>18</v>
      </c>
    </row>
    <row r="13" spans="7:12" x14ac:dyDescent="0.35">
      <c r="G13" s="1">
        <v>0</v>
      </c>
      <c r="H13" s="1">
        <v>1</v>
      </c>
      <c r="I13" s="1">
        <v>0</v>
      </c>
      <c r="J13" s="4">
        <f>SUMPRODUCT($G$6:$I$6,G13:I13)</f>
        <v>0.5</v>
      </c>
      <c r="K13" s="1" t="s">
        <v>8</v>
      </c>
      <c r="L13" s="1">
        <v>2</v>
      </c>
    </row>
    <row r="14" spans="7:12" x14ac:dyDescent="0.35">
      <c r="G14" s="1">
        <v>1</v>
      </c>
      <c r="H14" s="1">
        <v>0</v>
      </c>
      <c r="I14" s="1">
        <v>0</v>
      </c>
      <c r="J14" s="4">
        <f>SUMPRODUCT($G$6:$I$6,G14:I14)</f>
        <v>18</v>
      </c>
      <c r="K14" s="1" t="s">
        <v>5</v>
      </c>
      <c r="L14" s="1">
        <v>15</v>
      </c>
    </row>
    <row r="15" spans="7:12" x14ac:dyDescent="0.35">
      <c r="G15" s="1">
        <v>0</v>
      </c>
      <c r="H15" s="1">
        <v>1</v>
      </c>
      <c r="I15" s="1">
        <v>0</v>
      </c>
      <c r="J15" s="4">
        <f>SUMPRODUCT($G$6:$I$6,G15:I15)</f>
        <v>0.5</v>
      </c>
      <c r="K15" s="1" t="s">
        <v>8</v>
      </c>
      <c r="L15" s="1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CE39-4EF9-41A3-B994-84A9DB155590}">
  <dimension ref="E6:J22"/>
  <sheetViews>
    <sheetView workbookViewId="0">
      <selection activeCell="F28" sqref="F28"/>
    </sheetView>
  </sheetViews>
  <sheetFormatPr defaultColWidth="9.109375" defaultRowHeight="18" x14ac:dyDescent="0.35"/>
  <cols>
    <col min="1" max="7" width="9.109375" style="1"/>
    <col min="8" max="8" width="14.88671875" style="1" bestFit="1" customWidth="1"/>
    <col min="9" max="9" width="15.5546875" style="1" bestFit="1" customWidth="1"/>
    <col min="10" max="10" width="10.77734375" style="1" bestFit="1" customWidth="1"/>
    <col min="11" max="16384" width="9.109375" style="1"/>
  </cols>
  <sheetData>
    <row r="6" spans="5:10" x14ac:dyDescent="0.35">
      <c r="J6" s="1" t="s">
        <v>7</v>
      </c>
    </row>
    <row r="7" spans="5:10" x14ac:dyDescent="0.35">
      <c r="J7" s="5">
        <v>24</v>
      </c>
    </row>
    <row r="8" spans="5:10" x14ac:dyDescent="0.35">
      <c r="E8" s="1">
        <f>17/3</f>
        <v>5.666666666666667</v>
      </c>
      <c r="G8" s="1" t="s">
        <v>0</v>
      </c>
      <c r="H8" s="1" t="s">
        <v>9</v>
      </c>
      <c r="I8" s="1" t="s">
        <v>10</v>
      </c>
      <c r="J8" s="1" t="s">
        <v>11</v>
      </c>
    </row>
    <row r="9" spans="5:10" x14ac:dyDescent="0.35">
      <c r="G9" s="1">
        <v>0</v>
      </c>
      <c r="H9" s="6">
        <f>(17-2*G9)/3</f>
        <v>5.666666666666667</v>
      </c>
      <c r="I9" s="6">
        <f>(45-10*G9)/3</f>
        <v>15</v>
      </c>
      <c r="J9" s="6">
        <f>($J$7-5*G9)/2</f>
        <v>12</v>
      </c>
    </row>
    <row r="10" spans="5:10" x14ac:dyDescent="0.35">
      <c r="G10" s="1">
        <v>1</v>
      </c>
      <c r="H10" s="6">
        <f t="shared" ref="H10:H15" si="0">(17-2*G10)/3</f>
        <v>5</v>
      </c>
      <c r="I10" s="6">
        <f t="shared" ref="I10:I15" si="1">(45-10*G10)/3</f>
        <v>11.666666666666666</v>
      </c>
      <c r="J10" s="6">
        <f t="shared" ref="J10:J15" si="2">($J$7-5*G10)/2</f>
        <v>9.5</v>
      </c>
    </row>
    <row r="11" spans="5:10" x14ac:dyDescent="0.35">
      <c r="G11" s="1">
        <v>2</v>
      </c>
      <c r="H11" s="6">
        <f t="shared" si="0"/>
        <v>4.333333333333333</v>
      </c>
      <c r="I11" s="6">
        <f t="shared" si="1"/>
        <v>8.3333333333333339</v>
      </c>
      <c r="J11" s="6">
        <f t="shared" si="2"/>
        <v>7</v>
      </c>
    </row>
    <row r="12" spans="5:10" x14ac:dyDescent="0.35">
      <c r="E12" s="1">
        <f>45/3</f>
        <v>15</v>
      </c>
      <c r="G12" s="1">
        <v>3</v>
      </c>
      <c r="H12" s="6">
        <f t="shared" si="0"/>
        <v>3.6666666666666665</v>
      </c>
      <c r="I12" s="6">
        <f t="shared" si="1"/>
        <v>5</v>
      </c>
      <c r="J12" s="6">
        <f t="shared" si="2"/>
        <v>4.5</v>
      </c>
    </row>
    <row r="13" spans="5:10" x14ac:dyDescent="0.35">
      <c r="G13" s="1">
        <v>4</v>
      </c>
      <c r="H13" s="6">
        <f t="shared" si="0"/>
        <v>3</v>
      </c>
      <c r="I13" s="6">
        <f t="shared" si="1"/>
        <v>1.6666666666666667</v>
      </c>
      <c r="J13" s="6">
        <f t="shared" si="2"/>
        <v>2</v>
      </c>
    </row>
    <row r="14" spans="5:10" x14ac:dyDescent="0.35">
      <c r="G14" s="1">
        <v>5</v>
      </c>
      <c r="H14" s="6">
        <f t="shared" si="0"/>
        <v>2.3333333333333335</v>
      </c>
      <c r="I14" s="6">
        <f t="shared" si="1"/>
        <v>-1.6666666666666667</v>
      </c>
      <c r="J14" s="6">
        <f>($J$7-5*G14)/2</f>
        <v>-0.5</v>
      </c>
    </row>
    <row r="15" spans="5:10" x14ac:dyDescent="0.35">
      <c r="G15" s="1">
        <v>6</v>
      </c>
      <c r="H15" s="6">
        <f t="shared" si="0"/>
        <v>1.6666666666666667</v>
      </c>
      <c r="I15" s="6">
        <f t="shared" si="1"/>
        <v>-5</v>
      </c>
      <c r="J15" s="6">
        <f t="shared" si="2"/>
        <v>-3</v>
      </c>
    </row>
    <row r="18" spans="5:7" x14ac:dyDescent="0.35">
      <c r="E18" s="1" t="s">
        <v>0</v>
      </c>
      <c r="F18" s="1" t="s">
        <v>1</v>
      </c>
      <c r="G18" s="1" t="s">
        <v>7</v>
      </c>
    </row>
    <row r="19" spans="5:7" x14ac:dyDescent="0.35">
      <c r="E19" s="1">
        <v>1</v>
      </c>
      <c r="F19" s="1">
        <v>5</v>
      </c>
      <c r="G19" s="1">
        <f>5*E19+2*F19</f>
        <v>15</v>
      </c>
    </row>
    <row r="20" spans="5:7" x14ac:dyDescent="0.35">
      <c r="E20" s="1">
        <v>2</v>
      </c>
      <c r="F20" s="1">
        <v>4</v>
      </c>
      <c r="G20" s="1">
        <f t="shared" ref="G20:G22" si="3">5*E20+2*F20</f>
        <v>18</v>
      </c>
    </row>
    <row r="21" spans="5:7" x14ac:dyDescent="0.35">
      <c r="E21" s="1">
        <v>3</v>
      </c>
      <c r="F21" s="1">
        <v>3</v>
      </c>
      <c r="G21" s="1">
        <f t="shared" si="3"/>
        <v>21</v>
      </c>
    </row>
    <row r="22" spans="5:7" x14ac:dyDescent="0.35">
      <c r="E22" s="1">
        <v>4</v>
      </c>
      <c r="F22" s="1">
        <v>1</v>
      </c>
      <c r="G22" s="1">
        <f t="shared" si="3"/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4EAD-7B2E-4B15-9FF1-5E68F0A48A2D}">
  <dimension ref="D6:M26"/>
  <sheetViews>
    <sheetView workbookViewId="0">
      <selection activeCell="O31" sqref="O31"/>
    </sheetView>
  </sheetViews>
  <sheetFormatPr defaultColWidth="9.109375" defaultRowHeight="18" x14ac:dyDescent="0.35"/>
  <cols>
    <col min="1" max="7" width="9.109375" style="1"/>
    <col min="8" max="8" width="14.88671875" style="1" bestFit="1" customWidth="1"/>
    <col min="9" max="9" width="15.5546875" style="1" bestFit="1" customWidth="1"/>
    <col min="10" max="10" width="10.77734375" style="1" bestFit="1" customWidth="1"/>
    <col min="11" max="16384" width="9.109375" style="1"/>
  </cols>
  <sheetData>
    <row r="6" spans="5:13" x14ac:dyDescent="0.35">
      <c r="J6" s="1" t="s">
        <v>7</v>
      </c>
    </row>
    <row r="7" spans="5:13" x14ac:dyDescent="0.35">
      <c r="J7" s="5">
        <v>0</v>
      </c>
    </row>
    <row r="8" spans="5:13" x14ac:dyDescent="0.35">
      <c r="E8" s="1">
        <f>17/3</f>
        <v>5.666666666666667</v>
      </c>
      <c r="G8" s="1" t="s">
        <v>0</v>
      </c>
      <c r="H8" s="1" t="s">
        <v>9</v>
      </c>
      <c r="I8" s="1" t="s">
        <v>10</v>
      </c>
      <c r="J8" s="1" t="s">
        <v>11</v>
      </c>
      <c r="L8" s="1" t="s">
        <v>12</v>
      </c>
      <c r="M8" s="1" t="s">
        <v>1</v>
      </c>
    </row>
    <row r="9" spans="5:13" x14ac:dyDescent="0.35">
      <c r="G9" s="1">
        <v>0</v>
      </c>
      <c r="H9" s="6">
        <f>(17-2*G9)/3</f>
        <v>5.666666666666667</v>
      </c>
      <c r="I9" s="6">
        <f>(45-10*G9)/3</f>
        <v>15</v>
      </c>
      <c r="J9" s="6">
        <f>($J$7-5*G9)/2</f>
        <v>0</v>
      </c>
      <c r="L9" s="1">
        <v>4</v>
      </c>
      <c r="M9" s="1">
        <v>0</v>
      </c>
    </row>
    <row r="10" spans="5:13" x14ac:dyDescent="0.35">
      <c r="G10" s="1">
        <v>1</v>
      </c>
      <c r="H10" s="6">
        <f t="shared" ref="H10:H15" si="0">(17-2*G10)/3</f>
        <v>5</v>
      </c>
      <c r="I10" s="6">
        <f t="shared" ref="I10:I15" si="1">(45-10*G10)/3</f>
        <v>11.666666666666666</v>
      </c>
      <c r="J10" s="6">
        <f t="shared" ref="J10:J15" si="2">($J$7-5*G10)/2</f>
        <v>-2.5</v>
      </c>
      <c r="L10" s="1">
        <v>4</v>
      </c>
      <c r="M10" s="1">
        <v>6</v>
      </c>
    </row>
    <row r="11" spans="5:13" x14ac:dyDescent="0.35">
      <c r="G11" s="1">
        <v>2</v>
      </c>
      <c r="H11" s="6">
        <f t="shared" si="0"/>
        <v>4.333333333333333</v>
      </c>
      <c r="I11" s="6">
        <f t="shared" si="1"/>
        <v>8.3333333333333339</v>
      </c>
      <c r="J11" s="6">
        <f t="shared" si="2"/>
        <v>-5</v>
      </c>
    </row>
    <row r="12" spans="5:13" x14ac:dyDescent="0.35">
      <c r="E12" s="1">
        <f>45/3</f>
        <v>15</v>
      </c>
      <c r="G12" s="1">
        <v>3</v>
      </c>
      <c r="H12" s="6">
        <f t="shared" si="0"/>
        <v>3.6666666666666665</v>
      </c>
      <c r="I12" s="6">
        <f t="shared" si="1"/>
        <v>5</v>
      </c>
      <c r="J12" s="6">
        <f t="shared" si="2"/>
        <v>-7.5</v>
      </c>
      <c r="L12" s="1" t="s">
        <v>0</v>
      </c>
      <c r="M12" s="1" t="s">
        <v>13</v>
      </c>
    </row>
    <row r="13" spans="5:13" x14ac:dyDescent="0.35">
      <c r="G13" s="1">
        <v>4</v>
      </c>
      <c r="H13" s="6">
        <f t="shared" si="0"/>
        <v>3</v>
      </c>
      <c r="I13" s="6">
        <f t="shared" si="1"/>
        <v>1.6666666666666667</v>
      </c>
      <c r="J13" s="6">
        <f t="shared" si="2"/>
        <v>-10</v>
      </c>
      <c r="L13" s="1">
        <v>0</v>
      </c>
      <c r="M13" s="1">
        <v>1</v>
      </c>
    </row>
    <row r="14" spans="5:13" x14ac:dyDescent="0.35">
      <c r="G14" s="1">
        <v>5</v>
      </c>
      <c r="H14" s="6">
        <f t="shared" si="0"/>
        <v>2.3333333333333335</v>
      </c>
      <c r="I14" s="6">
        <f t="shared" si="1"/>
        <v>-1.6666666666666667</v>
      </c>
      <c r="J14" s="6">
        <f>($J$7-5*G14)/2</f>
        <v>-12.5</v>
      </c>
      <c r="L14" s="1">
        <v>6</v>
      </c>
      <c r="M14" s="1">
        <v>1</v>
      </c>
    </row>
    <row r="15" spans="5:13" x14ac:dyDescent="0.35">
      <c r="G15" s="1">
        <v>6</v>
      </c>
      <c r="H15" s="6">
        <f t="shared" si="0"/>
        <v>1.6666666666666667</v>
      </c>
      <c r="I15" s="6">
        <f t="shared" si="1"/>
        <v>-5</v>
      </c>
      <c r="J15" s="6">
        <f t="shared" si="2"/>
        <v>-15</v>
      </c>
    </row>
    <row r="16" spans="5:13" x14ac:dyDescent="0.35">
      <c r="L16" s="1" t="s">
        <v>12</v>
      </c>
      <c r="M16" s="1" t="s">
        <v>1</v>
      </c>
    </row>
    <row r="17" spans="4:13" x14ac:dyDescent="0.35">
      <c r="L17" s="1">
        <v>4</v>
      </c>
      <c r="M17" s="1">
        <v>0</v>
      </c>
    </row>
    <row r="18" spans="4:13" x14ac:dyDescent="0.35">
      <c r="L18" s="1">
        <v>4</v>
      </c>
      <c r="M18" s="1">
        <v>6</v>
      </c>
    </row>
    <row r="19" spans="4:13" x14ac:dyDescent="0.35">
      <c r="D19" s="1">
        <v>5</v>
      </c>
      <c r="E19" s="1">
        <v>2</v>
      </c>
      <c r="G19" s="1" t="s">
        <v>7</v>
      </c>
    </row>
    <row r="20" spans="4:13" x14ac:dyDescent="0.35">
      <c r="D20" s="2">
        <v>2.5</v>
      </c>
      <c r="E20" s="2">
        <v>4</v>
      </c>
      <c r="G20" s="5">
        <f>SUMPRODUCT(D20:E20,D19:E19)</f>
        <v>20.5</v>
      </c>
    </row>
    <row r="21" spans="4:13" x14ac:dyDescent="0.35">
      <c r="D21" s="1">
        <v>2</v>
      </c>
      <c r="E21" s="1">
        <v>3</v>
      </c>
      <c r="F21" s="4">
        <f>SUMPRODUCT(D20:E20,D21:E21)</f>
        <v>17</v>
      </c>
      <c r="G21" s="1" t="s">
        <v>5</v>
      </c>
      <c r="H21" s="1">
        <v>17</v>
      </c>
    </row>
    <row r="22" spans="4:13" x14ac:dyDescent="0.35">
      <c r="D22" s="1">
        <v>10</v>
      </c>
      <c r="E22" s="1">
        <v>3</v>
      </c>
      <c r="F22" s="4">
        <f>SUMPRODUCT(D20:E20,D22:E22)</f>
        <v>37</v>
      </c>
      <c r="G22" s="1" t="s">
        <v>5</v>
      </c>
      <c r="H22" s="1">
        <v>45</v>
      </c>
    </row>
    <row r="24" spans="4:13" x14ac:dyDescent="0.35">
      <c r="D24" s="1">
        <v>1</v>
      </c>
      <c r="E24" s="1">
        <v>0</v>
      </c>
      <c r="F24" s="4">
        <f>SUMPRODUCT($D$20:$E$20,D24:E24)</f>
        <v>2.5</v>
      </c>
      <c r="G24" s="1" t="s">
        <v>8</v>
      </c>
      <c r="H24" s="1">
        <v>4</v>
      </c>
    </row>
    <row r="25" spans="4:13" x14ac:dyDescent="0.35">
      <c r="D25" s="1">
        <v>0</v>
      </c>
      <c r="E25" s="1">
        <v>1</v>
      </c>
      <c r="F25" s="4">
        <f>SUMPRODUCT($D$20:$E$20,D25:E25)</f>
        <v>4</v>
      </c>
      <c r="G25" s="1" t="s">
        <v>5</v>
      </c>
      <c r="H25" s="1">
        <v>1</v>
      </c>
    </row>
    <row r="26" spans="4:13" x14ac:dyDescent="0.35">
      <c r="D26" s="1">
        <v>1</v>
      </c>
      <c r="E26" s="1">
        <v>0</v>
      </c>
      <c r="F26" s="4">
        <f>SUMPRODUCT($D$20:$E$20,D26:E26)</f>
        <v>2.5</v>
      </c>
      <c r="G26" s="1" t="s">
        <v>5</v>
      </c>
      <c r="H26" s="1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B898-548E-40BF-BDAB-340C3D91277F}">
  <dimension ref="E13:K23"/>
  <sheetViews>
    <sheetView workbookViewId="0">
      <selection activeCell="O18" sqref="O18"/>
    </sheetView>
  </sheetViews>
  <sheetFormatPr defaultColWidth="9.109375" defaultRowHeight="18" x14ac:dyDescent="0.35"/>
  <cols>
    <col min="1" max="16384" width="9.109375" style="1"/>
  </cols>
  <sheetData>
    <row r="13" spans="5:11" x14ac:dyDescent="0.35">
      <c r="F13" s="1" t="s">
        <v>16</v>
      </c>
      <c r="G13" s="1" t="s">
        <v>17</v>
      </c>
      <c r="H13" s="1" t="s">
        <v>18</v>
      </c>
    </row>
    <row r="14" spans="5:11" x14ac:dyDescent="0.35">
      <c r="E14" s="1" t="s">
        <v>14</v>
      </c>
      <c r="F14" s="8">
        <v>30</v>
      </c>
      <c r="G14" s="8">
        <v>0</v>
      </c>
      <c r="H14" s="8">
        <v>20</v>
      </c>
      <c r="I14" s="4">
        <f>SUM(F14:H14)</f>
        <v>50</v>
      </c>
      <c r="J14" s="1" t="s">
        <v>5</v>
      </c>
      <c r="K14" s="9">
        <v>50</v>
      </c>
    </row>
    <row r="15" spans="5:11" x14ac:dyDescent="0.35">
      <c r="E15" s="1" t="s">
        <v>15</v>
      </c>
      <c r="F15" s="8">
        <v>0</v>
      </c>
      <c r="G15" s="8">
        <v>40</v>
      </c>
      <c r="H15" s="8">
        <v>20</v>
      </c>
      <c r="I15" s="4">
        <f>SUM(F15:H15)</f>
        <v>60</v>
      </c>
      <c r="J15" s="1" t="s">
        <v>5</v>
      </c>
      <c r="K15" s="9">
        <v>60</v>
      </c>
    </row>
    <row r="16" spans="5:11" x14ac:dyDescent="0.35">
      <c r="F16" s="4">
        <f>SUM(F14:F15)</f>
        <v>30</v>
      </c>
      <c r="G16" s="4">
        <f t="shared" ref="G16:H16" si="0">SUM(G14:G15)</f>
        <v>40</v>
      </c>
      <c r="H16" s="4">
        <f t="shared" si="0"/>
        <v>40</v>
      </c>
    </row>
    <row r="17" spans="5:8" x14ac:dyDescent="0.35">
      <c r="F17" s="1" t="s">
        <v>8</v>
      </c>
      <c r="G17" s="1" t="s">
        <v>8</v>
      </c>
      <c r="H17" s="1" t="s">
        <v>8</v>
      </c>
    </row>
    <row r="18" spans="5:8" x14ac:dyDescent="0.35">
      <c r="F18" s="9">
        <v>30</v>
      </c>
      <c r="G18" s="9">
        <v>40</v>
      </c>
      <c r="H18" s="9">
        <v>40</v>
      </c>
    </row>
    <row r="20" spans="5:8" x14ac:dyDescent="0.35">
      <c r="F20" s="1" t="s">
        <v>16</v>
      </c>
      <c r="G20" s="1" t="s">
        <v>17</v>
      </c>
      <c r="H20" s="1" t="s">
        <v>18</v>
      </c>
    </row>
    <row r="21" spans="5:8" x14ac:dyDescent="0.35">
      <c r="E21" s="1" t="s">
        <v>14</v>
      </c>
      <c r="F21" s="9">
        <v>4</v>
      </c>
      <c r="G21" s="9">
        <v>6</v>
      </c>
      <c r="H21" s="9">
        <v>9</v>
      </c>
    </row>
    <row r="22" spans="5:8" x14ac:dyDescent="0.35">
      <c r="E22" s="1" t="s">
        <v>15</v>
      </c>
      <c r="F22" s="9">
        <v>5</v>
      </c>
      <c r="G22" s="9">
        <v>4</v>
      </c>
      <c r="H22" s="9">
        <v>7</v>
      </c>
    </row>
    <row r="23" spans="5:8" x14ac:dyDescent="0.35">
      <c r="E23" s="10" t="s">
        <v>19</v>
      </c>
      <c r="F23" s="3">
        <f>SUMPRODUCT(F14:H15,F21:H22)</f>
        <v>600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BAD2-BA7C-4DB5-922C-2AD969C086A5}">
  <dimension ref="A1:H15"/>
  <sheetViews>
    <sheetView showGridLines="0" workbookViewId="0">
      <selection activeCell="A2" sqref="A2"/>
    </sheetView>
  </sheetViews>
  <sheetFormatPr defaultColWidth="9.109375" defaultRowHeight="18" x14ac:dyDescent="0.35"/>
  <cols>
    <col min="1" max="1" width="12.44140625" style="7" customWidth="1"/>
    <col min="2" max="16384" width="9.109375" style="7"/>
  </cols>
  <sheetData>
    <row r="1" spans="1:8" x14ac:dyDescent="0.35">
      <c r="A1" s="7" t="s">
        <v>20</v>
      </c>
    </row>
    <row r="3" spans="1:8" x14ac:dyDescent="0.35">
      <c r="B3" s="7" t="s">
        <v>27</v>
      </c>
    </row>
    <row r="4" spans="1:8" x14ac:dyDescent="0.35">
      <c r="B4" s="7" t="s">
        <v>28</v>
      </c>
    </row>
    <row r="6" spans="1:8" x14ac:dyDescent="0.35">
      <c r="A6" s="7" t="s">
        <v>21</v>
      </c>
    </row>
    <row r="8" spans="1:8" x14ac:dyDescent="0.35">
      <c r="A8" s="7" t="s">
        <v>29</v>
      </c>
      <c r="C8" s="7" t="s">
        <v>31</v>
      </c>
      <c r="F8" s="7" t="s">
        <v>32</v>
      </c>
      <c r="H8" s="7" t="s">
        <v>22</v>
      </c>
    </row>
    <row r="9" spans="1:8" x14ac:dyDescent="0.35">
      <c r="A9" s="7" t="s">
        <v>30</v>
      </c>
      <c r="C9" s="7" t="s">
        <v>33</v>
      </c>
      <c r="F9" s="7" t="s">
        <v>34</v>
      </c>
      <c r="H9" s="7" t="s">
        <v>23</v>
      </c>
    </row>
    <row r="10" spans="1:8" x14ac:dyDescent="0.35">
      <c r="A10" s="11" t="s">
        <v>46</v>
      </c>
      <c r="B10" s="11"/>
      <c r="C10" s="7" t="s">
        <v>47</v>
      </c>
      <c r="F10" s="7" t="s">
        <v>43</v>
      </c>
      <c r="H10" s="7" t="s">
        <v>35</v>
      </c>
    </row>
    <row r="11" spans="1:8" x14ac:dyDescent="0.35">
      <c r="A11" s="7" t="s">
        <v>24</v>
      </c>
      <c r="C11" s="7" t="s">
        <v>25</v>
      </c>
      <c r="D11" s="7" t="s">
        <v>36</v>
      </c>
      <c r="F11" s="7" t="s">
        <v>42</v>
      </c>
      <c r="H11" s="7" t="s">
        <v>39</v>
      </c>
    </row>
    <row r="12" spans="1:8" x14ac:dyDescent="0.35">
      <c r="A12" s="11" t="s">
        <v>26</v>
      </c>
      <c r="B12" s="11"/>
      <c r="C12" s="7" t="s">
        <v>45</v>
      </c>
      <c r="D12" s="7" t="s">
        <v>37</v>
      </c>
      <c r="F12" s="7" t="s">
        <v>44</v>
      </c>
      <c r="H12" s="7" t="s">
        <v>38</v>
      </c>
    </row>
    <row r="14" spans="1:8" x14ac:dyDescent="0.35">
      <c r="A14" s="7" t="s">
        <v>40</v>
      </c>
    </row>
    <row r="15" spans="1:8" x14ac:dyDescent="0.35">
      <c r="A15" s="7" t="s">
        <v>41</v>
      </c>
    </row>
  </sheetData>
  <mergeCells count="2">
    <mergeCell ref="A10:B10"/>
    <mergeCell ref="A1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FC30-F5F2-4D76-8D9F-C6D0A354DAE1}">
  <dimension ref="A1:G16"/>
  <sheetViews>
    <sheetView showGridLines="0" workbookViewId="0">
      <selection activeCell="A2" sqref="A2"/>
    </sheetView>
  </sheetViews>
  <sheetFormatPr defaultColWidth="9.109375" defaultRowHeight="18" x14ac:dyDescent="0.35"/>
  <cols>
    <col min="1" max="1" width="11.109375" style="7" customWidth="1"/>
    <col min="2" max="5" width="9.109375" style="7"/>
    <col min="6" max="6" width="10.5546875" style="7" customWidth="1"/>
    <col min="7" max="16384" width="9.109375" style="7"/>
  </cols>
  <sheetData>
    <row r="1" spans="1:7" x14ac:dyDescent="0.35">
      <c r="A1" s="7" t="s">
        <v>48</v>
      </c>
    </row>
    <row r="3" spans="1:7" x14ac:dyDescent="0.35">
      <c r="A3" s="7" t="s">
        <v>49</v>
      </c>
    </row>
    <row r="4" spans="1:7" x14ac:dyDescent="0.35">
      <c r="A4" s="7" t="s">
        <v>50</v>
      </c>
    </row>
    <row r="6" spans="1:7" x14ac:dyDescent="0.35">
      <c r="A6" s="7" t="s">
        <v>51</v>
      </c>
      <c r="B6" s="7" t="s">
        <v>52</v>
      </c>
      <c r="D6" s="7" t="s">
        <v>53</v>
      </c>
      <c r="G6" s="7" t="s">
        <v>54</v>
      </c>
    </row>
    <row r="7" spans="1:7" x14ac:dyDescent="0.35">
      <c r="A7" s="7" t="s">
        <v>58</v>
      </c>
      <c r="B7" s="7" t="s">
        <v>59</v>
      </c>
      <c r="D7" s="7" t="s">
        <v>60</v>
      </c>
      <c r="G7" s="7" t="s">
        <v>23</v>
      </c>
    </row>
    <row r="8" spans="1:7" x14ac:dyDescent="0.35">
      <c r="A8" s="7" t="s">
        <v>55</v>
      </c>
      <c r="B8" s="7" t="s">
        <v>56</v>
      </c>
      <c r="D8" s="7" t="s">
        <v>57</v>
      </c>
      <c r="G8" s="7" t="s">
        <v>61</v>
      </c>
    </row>
    <row r="9" spans="1:7" x14ac:dyDescent="0.35">
      <c r="A9" s="7" t="s">
        <v>62</v>
      </c>
      <c r="B9" s="7" t="s">
        <v>65</v>
      </c>
      <c r="D9" s="7" t="s">
        <v>66</v>
      </c>
      <c r="G9" s="7" t="s">
        <v>67</v>
      </c>
    </row>
    <row r="10" spans="1:7" x14ac:dyDescent="0.35">
      <c r="A10" s="7" t="s">
        <v>63</v>
      </c>
      <c r="B10" s="7" t="s">
        <v>64</v>
      </c>
      <c r="D10" s="7" t="s">
        <v>68</v>
      </c>
      <c r="G10" s="7" t="s">
        <v>69</v>
      </c>
    </row>
    <row r="12" spans="1:7" x14ac:dyDescent="0.35">
      <c r="B12" s="7" t="s">
        <v>70</v>
      </c>
    </row>
    <row r="13" spans="1:7" x14ac:dyDescent="0.35">
      <c r="B13" s="7" t="s">
        <v>71</v>
      </c>
    </row>
    <row r="15" spans="1:7" x14ac:dyDescent="0.35">
      <c r="A15" s="7" t="s">
        <v>72</v>
      </c>
    </row>
    <row r="16" spans="1:7" x14ac:dyDescent="0.35">
      <c r="A16" s="7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C240-51A7-4AC8-98AF-DD6ECE9CABFA}">
  <dimension ref="A1:X321"/>
  <sheetViews>
    <sheetView zoomScale="95" workbookViewId="0">
      <selection activeCell="B8" sqref="B8"/>
    </sheetView>
  </sheetViews>
  <sheetFormatPr defaultRowHeight="14.4" x14ac:dyDescent="0.3"/>
  <sheetData>
    <row r="1" spans="1:24" ht="18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8" x14ac:dyDescent="0.35">
      <c r="A3" s="7"/>
      <c r="B3" s="7" t="s">
        <v>74</v>
      </c>
      <c r="C3" s="7"/>
      <c r="D3" s="7"/>
      <c r="E3" s="7" t="s">
        <v>78</v>
      </c>
      <c r="F3" s="7" t="s">
        <v>79</v>
      </c>
      <c r="G3" s="7"/>
      <c r="H3" s="7"/>
      <c r="I3" s="7" t="s">
        <v>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x14ac:dyDescent="0.35">
      <c r="A4" s="7"/>
      <c r="B4" s="7"/>
      <c r="C4" s="7"/>
      <c r="D4" s="7"/>
      <c r="E4" s="7">
        <v>40</v>
      </c>
      <c r="F4" s="7">
        <v>50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8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8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8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8" x14ac:dyDescent="0.35">
      <c r="A8" s="7"/>
      <c r="B8" s="7" t="s">
        <v>75</v>
      </c>
      <c r="C8" s="7"/>
      <c r="D8" s="7"/>
      <c r="E8" s="7">
        <v>1</v>
      </c>
      <c r="F8" s="7">
        <v>1</v>
      </c>
      <c r="G8" s="7"/>
      <c r="H8" s="7" t="s">
        <v>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8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8" x14ac:dyDescent="0.35">
      <c r="A10" s="7"/>
      <c r="B10" s="7" t="s">
        <v>76</v>
      </c>
      <c r="C10" s="7"/>
      <c r="D10" s="7"/>
      <c r="E10" s="7">
        <v>2</v>
      </c>
      <c r="F10" s="7">
        <v>3</v>
      </c>
      <c r="G10" s="7"/>
      <c r="H10" s="7" t="s">
        <v>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8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8" x14ac:dyDescent="0.35">
      <c r="A12" s="7"/>
      <c r="B12" s="7" t="s">
        <v>77</v>
      </c>
      <c r="C12" s="7"/>
      <c r="D12" s="7"/>
      <c r="E12" s="7">
        <v>3</v>
      </c>
      <c r="F12" s="7">
        <v>2</v>
      </c>
      <c r="G12" s="7"/>
      <c r="H12" s="7" t="s">
        <v>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18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18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18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8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18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18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18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18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18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18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8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8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8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8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8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18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18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18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18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18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18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8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18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18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18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18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18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18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18" x14ac:dyDescent="0.3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18" x14ac:dyDescent="0.3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8" x14ac:dyDescent="0.3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8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8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8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8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8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8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8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8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8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8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8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8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8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8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8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8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8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8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8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8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8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8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8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8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8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8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8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8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8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8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8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8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8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8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8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8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8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8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8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8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8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8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8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8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8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8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8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8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8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8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8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8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8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8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8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8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8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8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8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8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8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8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8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8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8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8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8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8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8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8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8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8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8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8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8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8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8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8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8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8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8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8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8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8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8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8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8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8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8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8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8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8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8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8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8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8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8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8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8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8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8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8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8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8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8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8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8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8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8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8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8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8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8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8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8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8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8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8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8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8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8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8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8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8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8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8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8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8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8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8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8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8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8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8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8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8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8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8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8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8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8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8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8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8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8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8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8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8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8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8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8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8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8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8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8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8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8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8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8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8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8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8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8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8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8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8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8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8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8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8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8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8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8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8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8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8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8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8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8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8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8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8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8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8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8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8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8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8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8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8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8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8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8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8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8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8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8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8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8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8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8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8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8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8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8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8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8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8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8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8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8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8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8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8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8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8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8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8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8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8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8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8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8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8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8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8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8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8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8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8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8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8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8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8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8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8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8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8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8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8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8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8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8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8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8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8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8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8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8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8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8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8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8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8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8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8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8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8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8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8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8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8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8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8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8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8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8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8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8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8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8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8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8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8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8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8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8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8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Broken</vt:lpstr>
      <vt:lpstr>B&amp;B</vt:lpstr>
      <vt:lpstr>Point</vt:lpstr>
      <vt:lpstr>Graph B&amp;B</vt:lpstr>
      <vt:lpstr>Exercise 2</vt:lpstr>
      <vt:lpstr>Python 1</vt:lpstr>
      <vt:lpstr>Python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Cosimo Girolamo</dc:creator>
  <cp:lastModifiedBy>Heta Chavda</cp:lastModifiedBy>
  <dcterms:created xsi:type="dcterms:W3CDTF">2025-05-04T03:31:55Z</dcterms:created>
  <dcterms:modified xsi:type="dcterms:W3CDTF">2025-05-13T18:21:09Z</dcterms:modified>
</cp:coreProperties>
</file>